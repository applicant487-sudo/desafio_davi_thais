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up_Diario" sheetId="1" r:id="rId4"/>
  </sheets>
  <definedNames/>
  <calcPr/>
  <extLst>
    <ext uri="GoogleSheetsCustomDataVersion2">
      <go:sheetsCustomData xmlns:go="http://customooxmlschemas.google.com/" r:id="rId5" roundtripDataChecksum="d8gmYn6BexO8MOiTNLAd2YknZ9P1G737GEpMPYSksIE="/>
    </ext>
  </extLst>
</workbook>
</file>

<file path=xl/sharedStrings.xml><?xml version="1.0" encoding="utf-8"?>
<sst xmlns="http://schemas.openxmlformats.org/spreadsheetml/2006/main" count="5049" uniqueCount="1897">
  <si>
    <t>ID do Registro</t>
  </si>
  <si>
    <t>Data e Hora</t>
  </si>
  <si>
    <t>Nome da Obra</t>
  </si>
  <si>
    <t>Contrato</t>
  </si>
  <si>
    <t>Bairro Principal</t>
  </si>
  <si>
    <t>Faixa Populacional</t>
  </si>
  <si>
    <t>Bairros Vizinhos Afetados</t>
  </si>
  <si>
    <t>Impacto Total (Pessoas)</t>
  </si>
  <si>
    <t>Equipe Trabalhando</t>
  </si>
  <si>
    <t>Notas de Campo</t>
  </si>
  <si>
    <t>Latitude</t>
  </si>
  <si>
    <t>Longitude</t>
  </si>
  <si>
    <t>Qtd Fotos</t>
  </si>
  <si>
    <t>URLs das Fotos</t>
  </si>
  <si>
    <t>Taxa de atraso</t>
  </si>
  <si>
    <t>População Impactada</t>
  </si>
  <si>
    <t>d3d9ee9a-df3e-4f87-9ad1-524ac21c11eb</t>
  </si>
  <si>
    <t>Praça no bairro Ajuda de Cima</t>
  </si>
  <si>
    <t>030/2024/SEMINF</t>
  </si>
  <si>
    <t>Ajuda de Cima</t>
  </si>
  <si>
    <t>Visconde de Araújo; Costa do Sol</t>
  </si>
  <si>
    <t>Sim</t>
  </si>
  <si>
    <t>Atraso de 20 min por congestionamento na RJ-168.</t>
  </si>
  <si>
    <t>826c246f-bade-43f8-af42-05fc33dfa177</t>
  </si>
  <si>
    <t>Praça no bairro Lagomar</t>
  </si>
  <si>
    <t>013/SEMINF</t>
  </si>
  <si>
    <t>Lagomar</t>
  </si>
  <si>
    <t>Cavaleiros; Ajuda de Cima; Parque União</t>
  </si>
  <si>
    <t>Equipe completa; inspeção de EPI realizada.</t>
  </si>
  <si>
    <t>913f4b2a-ee08-4d38-a0f1-65888e808fb1</t>
  </si>
  <si>
    <t>Obra de Engenharia no bairro Virgem Santa</t>
  </si>
  <si>
    <t>004/2020/SEMINF</t>
  </si>
  <si>
    <t>Virgem Santa</t>
  </si>
  <si>
    <t>Horto</t>
  </si>
  <si>
    <t>Um colaborador ausente por atestado médico.</t>
  </si>
  <si>
    <t>825e8016-cddd-437f-8465-056892af8edb</t>
  </si>
  <si>
    <t>Drenagem no bairro Parque União</t>
  </si>
  <si>
    <t>013/2026SEMINF</t>
  </si>
  <si>
    <t>Parque União</t>
  </si>
  <si>
    <t>Aroeira; Imboassica</t>
  </si>
  <si>
    <t>Equipe presente; sem intercorrências.</t>
  </si>
  <si>
    <t>d0ef1c5b-1b8e-46dd-9b8d-a950a8c731c0</t>
  </si>
  <si>
    <t>Manutenção de Vias no bairro Fronteira</t>
  </si>
  <si>
    <t>012/2026SEMINF</t>
  </si>
  <si>
    <t>Fronteira</t>
  </si>
  <si>
    <t>Riviera Fluminense</t>
  </si>
  <si>
    <t>3668e377-805b-4b1f-958d-e5fb2bb2bbd9</t>
  </si>
  <si>
    <t>Regularização Fundiária no bairro Malvinas</t>
  </si>
  <si>
    <t>010/2026SEMINF</t>
  </si>
  <si>
    <t>Malvinas</t>
  </si>
  <si>
    <t>São Marcos</t>
  </si>
  <si>
    <t>Todos os EPIs conferidos e aprovados pelo encarregado.</t>
  </si>
  <si>
    <t>fe7958d8-6503-42bd-a629-3ed38daf05b8</t>
  </si>
  <si>
    <t>Obra de Engenharia no bairro Imbetiba</t>
  </si>
  <si>
    <t>005/2026SEMINF</t>
  </si>
  <si>
    <t>Imbetiba</t>
  </si>
  <si>
    <t>d697c3b4-c37b-4931-a111-939dd70faee4</t>
  </si>
  <si>
    <t>Reforma no bairro Bairro da Glória</t>
  </si>
  <si>
    <t>004/2026SEMINF</t>
  </si>
  <si>
    <t>Bairro da Glória</t>
  </si>
  <si>
    <t>Costa do Sol</t>
  </si>
  <si>
    <t>93263bdd-9e0e-496e-b1bc-08d03db5857e</t>
  </si>
  <si>
    <t>Reforma no bairro Mirante da Lagoa</t>
  </si>
  <si>
    <t>001/2026SEMINF</t>
  </si>
  <si>
    <t>Mirante da Lagoa</t>
  </si>
  <si>
    <t>Miramar</t>
  </si>
  <si>
    <t>e41aa165-3ff6-4df7-8a60-1901eb5866bd</t>
  </si>
  <si>
    <t>Regularização Fundiária no bairro Centro</t>
  </si>
  <si>
    <t>NE: 001445/2026</t>
  </si>
  <si>
    <t>Centro</t>
  </si>
  <si>
    <t>Parque Atlântico</t>
  </si>
  <si>
    <t>3936feea-2c3a-469e-9fe1-ee08e17556ca</t>
  </si>
  <si>
    <t>Hemocentro no bairro Centro</t>
  </si>
  <si>
    <t>041/2025SEMINF</t>
  </si>
  <si>
    <t>Cajueiros; Granja dos Cavaleiros</t>
  </si>
  <si>
    <t>4392b8af-127c-4c4c-ad30-dc8c963f71f7</t>
  </si>
  <si>
    <t>Ponte no bairro São José do Barreto</t>
  </si>
  <si>
    <t>040/2025SEMINF</t>
  </si>
  <si>
    <t>São José do Barreto</t>
  </si>
  <si>
    <t>Imboassica; Riviera Fluminense</t>
  </si>
  <si>
    <t>Paralisação de 1h por chuva forte; retomada após melhora.</t>
  </si>
  <si>
    <t>e1bbfdec-b1c9-4eb5-9ad0-35f634bd64b3</t>
  </si>
  <si>
    <t>Reforma no bairro Botafogo</t>
  </si>
  <si>
    <t>037/2025SEMINF</t>
  </si>
  <si>
    <t>Botafogo</t>
  </si>
  <si>
    <t>São Marcos; Praia Campista; Sol y Mar</t>
  </si>
  <si>
    <t>Equipe reforçada com 2 serventes extras.</t>
  </si>
  <si>
    <t>e9ab2537-c1f2-4762-8fc5-208ae07c9186</t>
  </si>
  <si>
    <t>Drenagem no bairro Aroeira</t>
  </si>
  <si>
    <t>036/2025SEMINF</t>
  </si>
  <si>
    <t>Aroeira</t>
  </si>
  <si>
    <t>Cajueiros; Lagoa</t>
  </si>
  <si>
    <t>afa1976d-a9c1-45b7-a8bc-17e7e968a517</t>
  </si>
  <si>
    <t>Praça no bairro Lagoa</t>
  </si>
  <si>
    <t>035/2025SEMINF</t>
  </si>
  <si>
    <t>Lagoa</t>
  </si>
  <si>
    <t>Parque Atlântico; Imboassica</t>
  </si>
  <si>
    <t>f59841ee-1a78-459a-b42d-781d05d857a5</t>
  </si>
  <si>
    <t>Manutenção de Vias no bairro Centro</t>
  </si>
  <si>
    <t>033/2025SEMINF</t>
  </si>
  <si>
    <t>Nova Holanda; Cancela Preta</t>
  </si>
  <si>
    <t>80ae24ac-bdb3-4bfb-a32f-a1e1d437bff3</t>
  </si>
  <si>
    <t>Praça no bairro Ajuda de Baixo</t>
  </si>
  <si>
    <t>032/2025SEMINF</t>
  </si>
  <si>
    <t>Ajuda de Baixo</t>
  </si>
  <si>
    <t>Parque Aeroporto; Lagomar; Parque Atlântico</t>
  </si>
  <si>
    <t>1a55f119-63c8-4426-84ec-4ff89556faaf</t>
  </si>
  <si>
    <t>Infraestrutura no bairro Parque União</t>
  </si>
  <si>
    <t>031/2025seminf</t>
  </si>
  <si>
    <t>e81b4444-69e4-4bc2-9d59-10c4a3b6d6df</t>
  </si>
  <si>
    <t>Quadra Poliesportiva no bairro Lagomar</t>
  </si>
  <si>
    <t>030/2025SEMINF</t>
  </si>
  <si>
    <t>95122ef1-36e4-4259-bcf3-65b270fbe8f5</t>
  </si>
  <si>
    <t>Obra de Engenharia no bairro Centro</t>
  </si>
  <si>
    <t>029/2025SEMINF</t>
  </si>
  <si>
    <t>Visconde de Araújo</t>
  </si>
  <si>
    <t>25a6076e-49ba-42ae-a20a-2e0263e83128</t>
  </si>
  <si>
    <t>Jardim Santo Antônio; Parque Atlântico; Barra de Macaé</t>
  </si>
  <si>
    <t>ae8787a2-61b6-4fb8-bd60-60e4bfe9866b</t>
  </si>
  <si>
    <t>Obra de Engenharia no bairro Barra de Macaé</t>
  </si>
  <si>
    <t>028/2025SEMINF</t>
  </si>
  <si>
    <t>Barra de Macaé</t>
  </si>
  <si>
    <t>São Marcos; Alto dos Cajueiros</t>
  </si>
  <si>
    <t>1ee6e37b-f94f-41c2-9673-e755e471303d</t>
  </si>
  <si>
    <t>Novo Cavaleiros; Imbetiba; Bairro da Glória</t>
  </si>
  <si>
    <t>08101248-422d-447f-9762-acfceb376e66</t>
  </si>
  <si>
    <t>Lagomar; Cavaleiros</t>
  </si>
  <si>
    <t>e2689639-7932-4d86-8257-3120440283e2</t>
  </si>
  <si>
    <t>Reforma no bairro Centro</t>
  </si>
  <si>
    <t>027/2025SEMINF</t>
  </si>
  <si>
    <t>Parque Aeroporto</t>
  </si>
  <si>
    <t>cd49c9b6-e733-4871-8063-e886d8bdcb7e</t>
  </si>
  <si>
    <t>São Marcos; Parque União</t>
  </si>
  <si>
    <t>426e4508-308d-4e62-bc3a-6dd0e3df597d</t>
  </si>
  <si>
    <t>Obra de Engenharia no bairro Parque Aeroporto</t>
  </si>
  <si>
    <t>026/2025SEMINF</t>
  </si>
  <si>
    <t>Nova Esperança</t>
  </si>
  <si>
    <t>b7f2519e-9374-4e81-b50a-aa8980e6477d</t>
  </si>
  <si>
    <t>Praia Campista; Granja dos Cavaleiros</t>
  </si>
  <si>
    <t>afd91654-8f8b-490d-b90d-2ded02c93839</t>
  </si>
  <si>
    <t>Usina Fotovoltaica no bairro Parque Aeroporto</t>
  </si>
  <si>
    <t>e06e0113-448f-49d3-8ebd-712b1b4a3b65</t>
  </si>
  <si>
    <t>025/2025SEMINF</t>
  </si>
  <si>
    <t>Parque União; Nova Holanda</t>
  </si>
  <si>
    <t>4c09de47-3cf3-43a8-a260-b4e780481a33</t>
  </si>
  <si>
    <t>024/2025SEMINF</t>
  </si>
  <si>
    <t>682cbcab-8b80-430a-b5a2-3fbe2b5eff40</t>
  </si>
  <si>
    <t>Iluminação Pública no bairro Horto</t>
  </si>
  <si>
    <t>023/2025SEMINF</t>
  </si>
  <si>
    <t>São Marcos; Jardim Santo Antônio; Miramar</t>
  </si>
  <si>
    <t>510a2108-bbd7-4cb4-89e2-8a8a117eeab5</t>
  </si>
  <si>
    <t>022/2025SEMINF</t>
  </si>
  <si>
    <t>Visconde de Araújo; Imbetiba</t>
  </si>
  <si>
    <t>dea7adf5-ad99-4da7-bb40-82409c88d78d</t>
  </si>
  <si>
    <t>020/2025SEMINF</t>
  </si>
  <si>
    <t>Granja dos Cavaleiros; Riviera Fluminense; Novo Cavaleiros</t>
  </si>
  <si>
    <t>4f7ba95f-8ce4-43cd-8242-6821ebee454f</t>
  </si>
  <si>
    <t>Manutenção de Vias no bairro Horto</t>
  </si>
  <si>
    <t>019/2025SEMINF</t>
  </si>
  <si>
    <t>Miramar; Malvinas; Riviera Fluminense</t>
  </si>
  <si>
    <t>450019f2-f4d2-4b0f-b3e1-7934543d6ae9</t>
  </si>
  <si>
    <t>Reforma no bairro Cavaleiros</t>
  </si>
  <si>
    <t>013/2025SEMINF</t>
  </si>
  <si>
    <t>Cavaleiros</t>
  </si>
  <si>
    <t>Praia do Pecado; Parque União</t>
  </si>
  <si>
    <t>06667de1-7c0e-410e-a700-26bbcb5d9ed9</t>
  </si>
  <si>
    <t>Jardim Vitória; Cabiúnas; Centro</t>
  </si>
  <si>
    <t>292b4884-da2c-41f8-9d33-c766d776dd5d</t>
  </si>
  <si>
    <t>Ajuda de Cima; São José do Barreto</t>
  </si>
  <si>
    <t>3f2534f6-76c5-4a6a-bd79-4002c8d49c93</t>
  </si>
  <si>
    <t>012/2025SEMINF</t>
  </si>
  <si>
    <t>Granja dos Cavaleiros; Cavaleiros</t>
  </si>
  <si>
    <t>bc13f6a8-5dad-473c-8015-0cbb0976ada5</t>
  </si>
  <si>
    <t>Cabiúnas; Aroeira</t>
  </si>
  <si>
    <t>9b6fe45a-91fc-4992-b3c7-5748246ca38d</t>
  </si>
  <si>
    <t>Infraestrutura no bairro Nova Holanda</t>
  </si>
  <si>
    <t>011/2025SEMINF</t>
  </si>
  <si>
    <t>Nova Holanda</t>
  </si>
  <si>
    <t>Vale Encantado; Parque Atlântico</t>
  </si>
  <si>
    <t>11f3cce8-691c-4234-9e9a-e3319bb3046b</t>
  </si>
  <si>
    <t>Limpeza de Canais no bairro Fronteira</t>
  </si>
  <si>
    <t>010/2025SEMINF</t>
  </si>
  <si>
    <t>cf373b93-00dd-47d8-a91f-b758505e7e99</t>
  </si>
  <si>
    <t>Ponte no bairro Horto</t>
  </si>
  <si>
    <t>009/2025SEMINF</t>
  </si>
  <si>
    <t>Jardim Santo Antônio</t>
  </si>
  <si>
    <t>44ca6434-a698-4013-9560-2d249104b70c</t>
  </si>
  <si>
    <t>Fronteira; Centro</t>
  </si>
  <si>
    <t>9b79184a-a75a-4236-b95f-0c84fa8ff6c5</t>
  </si>
  <si>
    <t>008/2025SEMINF</t>
  </si>
  <si>
    <t>Parque União; São José do Barreto; Malvinas</t>
  </si>
  <si>
    <t>c3364565-7e47-4e79-805a-b58ea9bbf00f</t>
  </si>
  <si>
    <t>007/2025SEMINF</t>
  </si>
  <si>
    <t>490cce39-0797-408c-8d99-f8d61eac58f7</t>
  </si>
  <si>
    <t>4e8c2a48-e3b5-4283-a3d1-22200fc6d55a</t>
  </si>
  <si>
    <t>Terminal no bairro Imboassica</t>
  </si>
  <si>
    <t>006/2025SEMINF</t>
  </si>
  <si>
    <t>Imboassica</t>
  </si>
  <si>
    <t>Não</t>
  </si>
  <si>
    <t>6fd0f2a9-842d-4702-ad0d-3c3e453d2544</t>
  </si>
  <si>
    <t>005/2025SEMINF</t>
  </si>
  <si>
    <t>Mirante da Lagoa; Praia do Pecado</t>
  </si>
  <si>
    <t>963d7d17-de0b-4646-b2f9-2182e499948e</t>
  </si>
  <si>
    <t>Parque no bairro Ajuda de Cima</t>
  </si>
  <si>
    <t>004/2025SEMINF</t>
  </si>
  <si>
    <t>Vistoria do fiscal presente; sem apontamentos.</t>
  </si>
  <si>
    <t>b043738a-6ac9-4f6a-9c06-f3c9353601b9</t>
  </si>
  <si>
    <t>18d43c94-94c7-46f0-b886-cef6da123748</t>
  </si>
  <si>
    <t>Drenagem no bairro Novo Horizonte</t>
  </si>
  <si>
    <t>003/2025SEMINF</t>
  </si>
  <si>
    <t>Novo Horizonte</t>
  </si>
  <si>
    <t>Fronteira; Botafogo</t>
  </si>
  <si>
    <t>533d6dab-bd43-44c4-bf6f-07d2ae03d0d5</t>
  </si>
  <si>
    <t>Vale Encantado; Costa do Sol</t>
  </si>
  <si>
    <t>ecc2001a-2292-46c3-9fc3-84b550fdb35c</t>
  </si>
  <si>
    <t>Obra de Engenharia no bairro Bairro da Glória</t>
  </si>
  <si>
    <t>001/2025SEMINF</t>
  </si>
  <si>
    <t>Engenho da Praia; Alto dos Cajueiros</t>
  </si>
  <si>
    <t>ca52496d-6f42-43ab-941f-632482f86c2e</t>
  </si>
  <si>
    <t>Cajueiros; Ajuda de Baixo</t>
  </si>
  <si>
    <t>1c004b81-cc21-4d87-a463-f4073b9b6710</t>
  </si>
  <si>
    <t>030/2025SEMIINF</t>
  </si>
  <si>
    <t>Centro; Malvinas; São Marcos</t>
  </si>
  <si>
    <t>b4a461a0-0fdc-42a7-b20e-812cbeb44121</t>
  </si>
  <si>
    <t>Praça no bairro Centro</t>
  </si>
  <si>
    <t>034/2025-SEMINF</t>
  </si>
  <si>
    <t>Cajueiros; Aroeira; São Marcos</t>
  </si>
  <si>
    <t>460dc83c-c9b9-4ac3-98ed-72cdb7356b05</t>
  </si>
  <si>
    <t>Recapeamento no bairro Fronteira</t>
  </si>
  <si>
    <t>032/2024SEMINF</t>
  </si>
  <si>
    <t>Campo D'Oeste; Nova Esperança</t>
  </si>
  <si>
    <t>6cd5607f-0c3e-494a-a61b-51cf5981b179</t>
  </si>
  <si>
    <t>Botafogo; Lagomar; Horto</t>
  </si>
  <si>
    <t>3e52ba69-c461-4d49-9bd9-c1efabe01813</t>
  </si>
  <si>
    <t>Novo Horizonte; Cabiúnas</t>
  </si>
  <si>
    <t>c4bf64d2-27c7-4539-b159-59d0723bce59</t>
  </si>
  <si>
    <t>Iluminação Pública no bairro Bairro da Glória</t>
  </si>
  <si>
    <t>031/2024SEMINF</t>
  </si>
  <si>
    <t>Campo D'Oeste; Engenho da Praia; Imbetiba</t>
  </si>
  <si>
    <t>2b5658b5-6f2a-4895-b894-c77cba9cda50</t>
  </si>
  <si>
    <t>Praia do Pecado; Vale Encantado; Costa do Sol</t>
  </si>
  <si>
    <t>998c438a-75d7-4b0a-a7d2-8b2b54754098</t>
  </si>
  <si>
    <t>030/2024SEMINF</t>
  </si>
  <si>
    <t>Nova Esperança; Riviera Fluminense; Praia Campista</t>
  </si>
  <si>
    <t>18fa3808-a687-46bd-8b76-2c43e08a6a45</t>
  </si>
  <si>
    <t>Cabiúnas; Cavaleiros</t>
  </si>
  <si>
    <t>e0f7dedf-f71e-4f56-92e7-97eb72bcc326</t>
  </si>
  <si>
    <t>029/2024SEMINF</t>
  </si>
  <si>
    <t>Aroeira; Novo Horizonte</t>
  </si>
  <si>
    <t>a181eeac-288a-4c33-b446-490a1d0b40ee</t>
  </si>
  <si>
    <t>Aroeira; Botafogo</t>
  </si>
  <si>
    <t>8e3e8196-f510-462a-a58c-39cd230c7786</t>
  </si>
  <si>
    <t>Obra de Engenharia no bairro Cavaleiros</t>
  </si>
  <si>
    <t>028/2024SEMINF</t>
  </si>
  <si>
    <t>Mirante da Lagoa; Aroeira</t>
  </si>
  <si>
    <t>64f31367-c334-4aba-a2f5-42661b8a75a9</t>
  </si>
  <si>
    <t>Cancela Preta</t>
  </si>
  <si>
    <t>a911540f-0e37-410a-bb71-f2cd5c7d9aef</t>
  </si>
  <si>
    <t>Coleta de Resíduos no bairro Fronteira</t>
  </si>
  <si>
    <t>026/2024SEMINF</t>
  </si>
  <si>
    <t>2491a178-964d-4f28-8923-1d4401b8c1af</t>
  </si>
  <si>
    <t>025/2024SEMINF</t>
  </si>
  <si>
    <t>Ajuda de Cima; Sol y Mar</t>
  </si>
  <si>
    <t>1bf279db-ba3e-4513-a9f9-c99d50876d69</t>
  </si>
  <si>
    <t>034fd313-38e6-438f-9b3a-5df31d11b4ab</t>
  </si>
  <si>
    <t>023/2024SEMINF</t>
  </si>
  <si>
    <t>b7ea5c0f-dabf-4e5b-879b-22a937f3bc23</t>
  </si>
  <si>
    <t>1c4cd270-0c2c-4ca6-ae58-fc941ffa629c</t>
  </si>
  <si>
    <t>Obra de Engenharia no bairro Nova Esperança</t>
  </si>
  <si>
    <t>022/2024SEMINF</t>
  </si>
  <si>
    <t>Novo Horizonte; Novo Cavaleiros</t>
  </si>
  <si>
    <t>199369c0-3feb-4a14-aa14-5f94772db6e9</t>
  </si>
  <si>
    <t>Cajueiros; Bairro da Glória</t>
  </si>
  <si>
    <t>5683d785-9f5c-462d-b50b-a79b15c4992e</t>
  </si>
  <si>
    <t>Praia do Pecado; Alto dos Cajueiros; Mirante da Lagoa</t>
  </si>
  <si>
    <t>49fd8d5f-5ab2-4280-bb78-d7fe066b3a24</t>
  </si>
  <si>
    <t>Fronteira; Mirante da Lagoa; Vale Encantado</t>
  </si>
  <si>
    <t>f65e9c42-5151-4501-b867-57fa5fb07bba</t>
  </si>
  <si>
    <t>Parque no bairro Cancela Preta</t>
  </si>
  <si>
    <t>021/2024SEMINF</t>
  </si>
  <si>
    <t>Visconde de Araújo; Miramar; Praia do Pecado</t>
  </si>
  <si>
    <t>056d4b41-9e6e-455a-8e4e-ae07d42adf3d</t>
  </si>
  <si>
    <t>Obra de Engenharia no bairro Riviera Fluminense</t>
  </si>
  <si>
    <t>020/2024SEMINF</t>
  </si>
  <si>
    <t>São José do Barreto; Parque Atlântico</t>
  </si>
  <si>
    <t>10633428-54cc-4673-b8a9-d74585f7d9f9</t>
  </si>
  <si>
    <t>Praça no bairro Bairro da Glória</t>
  </si>
  <si>
    <t>Lagoa; Parque União</t>
  </si>
  <si>
    <t>a757d038-5d17-4064-ae27-b68a449e0052</t>
  </si>
  <si>
    <t>Praça no bairro Granja dos Cavaleiros</t>
  </si>
  <si>
    <t>Granja dos Cavaleiros</t>
  </si>
  <si>
    <t>Cabiúnas</t>
  </si>
  <si>
    <t>9c274e07-7e14-4808-bb9c-7afe267859a4</t>
  </si>
  <si>
    <t>Infraestrutura no bairro Horto</t>
  </si>
  <si>
    <t>019/2024SEMINF</t>
  </si>
  <si>
    <t>70cc0574-52a3-4789-9943-72c8ebd14662</t>
  </si>
  <si>
    <t>Infraestrutura no bairro Alto dos Cajueiros</t>
  </si>
  <si>
    <t>Alto dos Cajueiros</t>
  </si>
  <si>
    <t>Botafogo; Praia do Pecado; Nova Holanda</t>
  </si>
  <si>
    <t>e62f69ef-ae0b-44ba-b713-10b1ea7e418d</t>
  </si>
  <si>
    <t>Obra de Engenharia no bairro Parque União</t>
  </si>
  <si>
    <t>018/2024SEMINF</t>
  </si>
  <si>
    <t>Virgem Santa; Engenho da Praia; Imbetiba</t>
  </si>
  <si>
    <t>b23b2fcf-7964-4956-ac70-a9f3e4e72b78</t>
  </si>
  <si>
    <t>Drenagem no bairro Sol y Mar</t>
  </si>
  <si>
    <t>Sol y Mar</t>
  </si>
  <si>
    <t>5a674203-08cd-45e6-8f38-1ecbcce0eb8f</t>
  </si>
  <si>
    <t>Drenagem no bairro Ajuda de Baixo</t>
  </si>
  <si>
    <t>Parque Aeroporto; Bairro da Glória</t>
  </si>
  <si>
    <t>a5684d90-5f26-4eda-8a51-9b9be194961f</t>
  </si>
  <si>
    <t>Drenagem no bairro Cancela Preta</t>
  </si>
  <si>
    <t>São José do Barreto; Engenho da Praia; Fronteira</t>
  </si>
  <si>
    <t>4292067c-3957-4857-8527-3abb886433cd</t>
  </si>
  <si>
    <t>Drenagem no bairro Campo D'Oeste</t>
  </si>
  <si>
    <t>Campo D'Oeste</t>
  </si>
  <si>
    <t>Praia do Pecado</t>
  </si>
  <si>
    <t>e37d245f-d077-42da-9368-df2d20126639</t>
  </si>
  <si>
    <t>Praça no bairro Cabiúnas</t>
  </si>
  <si>
    <t>017/2024SEMINF</t>
  </si>
  <si>
    <t>15c02016-7aa2-4bb8-9100-5e62ae38b1d2</t>
  </si>
  <si>
    <t>Praça no bairro Jardim Santo Antônio</t>
  </si>
  <si>
    <t>Novo Cavaleiros; Nova Esperança</t>
  </si>
  <si>
    <t>3f76075e-b744-404d-9949-956e33811335</t>
  </si>
  <si>
    <t>Parque no bairro Sol y Mar</t>
  </si>
  <si>
    <t>016/2024SEMINF</t>
  </si>
  <si>
    <t>São Marcos; Lagomar; Novo Cavaleiros</t>
  </si>
  <si>
    <t>d241d402-b31d-4064-8a85-715304995c87</t>
  </si>
  <si>
    <t>f20ab340-e900-4dea-9a90-e4783d77ee59</t>
  </si>
  <si>
    <t>Parque no bairro Aroeira</t>
  </si>
  <si>
    <t>6c679be6-a297-4b0c-9938-a903c5f39a0b</t>
  </si>
  <si>
    <t>Parque no bairro Parque Atlântico</t>
  </si>
  <si>
    <t>Alto dos Cajueiros; Mirante da Lagoa; Barra de Macaé</t>
  </si>
  <si>
    <t>b8315e3c-fac7-44cb-9e07-3d71f781e6ac</t>
  </si>
  <si>
    <t>Praça no bairro Campo D'Oeste</t>
  </si>
  <si>
    <t>015/2024SEMINF</t>
  </si>
  <si>
    <t>Alto dos Cajueiros; Cabiúnas</t>
  </si>
  <si>
    <t>e9bf0246-65d3-4c57-9471-b80f7c90d0cc</t>
  </si>
  <si>
    <t>353658c5-7f30-4785-b2e5-d8a1d7066fdf</t>
  </si>
  <si>
    <t>Manutenção de Vias no bairro Virgem Santa</t>
  </si>
  <si>
    <t>014/2024SEMINF</t>
  </si>
  <si>
    <t>Aroeira; Nova Holanda</t>
  </si>
  <si>
    <t>677bc25b-495f-4ccb-a573-4a4307094adb</t>
  </si>
  <si>
    <t>Academia no bairro Cajueiros</t>
  </si>
  <si>
    <t>013/2024SEMINF</t>
  </si>
  <si>
    <t>Cajueiros</t>
  </si>
  <si>
    <t>Nova Holanda; Nova Esperança; Fronteira</t>
  </si>
  <si>
    <t>b51f983d-41e5-44c5-b8cd-3ec61231d732</t>
  </si>
  <si>
    <t>Academia no bairro Granja dos Cavaleiros</t>
  </si>
  <si>
    <t>Virgem Santa; Bairro da Glória</t>
  </si>
  <si>
    <t>067c542c-7437-42e9-8bbd-6fb16612db1c</t>
  </si>
  <si>
    <t>Academia no bairro Campo D'Oeste</t>
  </si>
  <si>
    <t>Engenho da Praia; Lagomar</t>
  </si>
  <si>
    <t>3c7d5f9d-2050-405a-bf06-69eca5dcbb16</t>
  </si>
  <si>
    <t>Academia no bairro Jardim Santo Antônio</t>
  </si>
  <si>
    <t>6ec3072d-44fc-4fde-9b35-2292f2ac9d06</t>
  </si>
  <si>
    <t>Academia no bairro Vale Encantado</t>
  </si>
  <si>
    <t>Vale Encantado</t>
  </si>
  <si>
    <t>550f9e09-0b57-48e3-8967-6f46278a2249</t>
  </si>
  <si>
    <t>Praça no bairro Virgem Santa</t>
  </si>
  <si>
    <t>012/2024SEMINF</t>
  </si>
  <si>
    <t>Jardim Vitória; Horto</t>
  </si>
  <si>
    <t>b3b5ff29-b162-47b7-83d9-9cce14a4e582</t>
  </si>
  <si>
    <t>Praça no bairro Parque Atlântico</t>
  </si>
  <si>
    <t>Imboassica; Botafogo</t>
  </si>
  <si>
    <t>0fa9d149-1487-4bd9-8087-687c49125d1b</t>
  </si>
  <si>
    <t>Obra de Engenharia no bairro Cajueiros</t>
  </si>
  <si>
    <t>011/2024SEMINF</t>
  </si>
  <si>
    <t>Centro; Alto dos Cajueiros</t>
  </si>
  <si>
    <t>1d261ed8-39b5-47a6-a3e0-d830491e140b</t>
  </si>
  <si>
    <t>Obra de Engenharia no bairro Imboassica</t>
  </si>
  <si>
    <t>Lagoa; Novo Cavaleiros</t>
  </si>
  <si>
    <t>f8758d6d-c30a-4fd3-b469-0e89375e597a</t>
  </si>
  <si>
    <t>Reforma no bairro São José do Barreto</t>
  </si>
  <si>
    <t>010/2024SEMINF</t>
  </si>
  <si>
    <t>fc080a4e-ffea-496b-84e5-16ebe12ae064</t>
  </si>
  <si>
    <t>Parque no bairro Parque Aeroporto</t>
  </si>
  <si>
    <t>009/2024SEMINF</t>
  </si>
  <si>
    <t>Aroeira; Lagomar; Alto dos Cajueiros</t>
  </si>
  <si>
    <t>685eb9ff-673f-4fa6-8285-25fed5679b00</t>
  </si>
  <si>
    <t>Parque no bairro Bairro da Glória</t>
  </si>
  <si>
    <t>08702a7f-7fca-4363-909b-b3919e818bec</t>
  </si>
  <si>
    <t>Obra de Engenharia no bairro Aroeira</t>
  </si>
  <si>
    <t>fe1f4cb1-e219-433c-948a-3b93f1fe6440</t>
  </si>
  <si>
    <t>Centro; Nova Holanda</t>
  </si>
  <si>
    <t>4b7965a6-a454-4daa-b55d-326e0d2e27e3</t>
  </si>
  <si>
    <t>Reforma no bairro Imboassica</t>
  </si>
  <si>
    <t>008/2024SEMINF</t>
  </si>
  <si>
    <t>643e2298-9f00-4c67-8cd8-642bf0d32dd0</t>
  </si>
  <si>
    <t>Imbetiba; Jardim Vitória; Parque Atlântico</t>
  </si>
  <si>
    <t>b04bebf4-673a-4741-927b-584fc8846710</t>
  </si>
  <si>
    <t>Obra de Engenharia no bairro Praia Campista</t>
  </si>
  <si>
    <t>007/2024SEMINF</t>
  </si>
  <si>
    <t>Praia Campista</t>
  </si>
  <si>
    <t>Ajuda de Cima; Praia do Pecado</t>
  </si>
  <si>
    <t>92cc6381-d8de-45e1-a063-99fc9d953c19</t>
  </si>
  <si>
    <t>Obra de Engenharia no bairro Fronteira</t>
  </si>
  <si>
    <t>006/2024SEMINF</t>
  </si>
  <si>
    <t>Aroeira; Lagoa</t>
  </si>
  <si>
    <t>dbdd103d-4fa5-4103-ae09-8722d6dd38d2</t>
  </si>
  <si>
    <t>Imboassica; São Marcos</t>
  </si>
  <si>
    <t>6faceca0-4e6a-48b8-8356-5623cb4362d4</t>
  </si>
  <si>
    <t>21d98056-4b48-4e65-8ef8-e0d80faa7513</t>
  </si>
  <si>
    <t>Obra de Engenharia no bairro Granja dos Cavaleiros</t>
  </si>
  <si>
    <t>886ccfb9-bf6a-437d-8aa1-d6d16136e548</t>
  </si>
  <si>
    <t>005/2024SEMINF</t>
  </si>
  <si>
    <t>Praia do Pecado; Campo D'Oeste; Sol y Mar</t>
  </si>
  <si>
    <t>40260d6f-76e8-4f39-8283-918874f203cf</t>
  </si>
  <si>
    <t>Reforma no bairro Novo Horizonte</t>
  </si>
  <si>
    <t>004/2024SEMINF</t>
  </si>
  <si>
    <t>Jardim Vitória</t>
  </si>
  <si>
    <t>e91d2a84-ff44-465a-be91-484971679bba</t>
  </si>
  <si>
    <t>Parque Aeroporto; Jardim Vitória</t>
  </si>
  <si>
    <t>7383ca67-1546-4089-9eec-4cb4123072d5</t>
  </si>
  <si>
    <t>Ajuda de Cima; Cabiúnas; Parque Atlântico</t>
  </si>
  <si>
    <t>87e80c70-1560-420b-94d2-26abf0c85350</t>
  </si>
  <si>
    <t>4917612c-97ba-4eb7-9edd-8cca3d8174a2</t>
  </si>
  <si>
    <t>Reforma no bairro Visconde de Araújo</t>
  </si>
  <si>
    <t>Bairro da Glória; Cancela Preta; Virgem Santa</t>
  </si>
  <si>
    <t>627f8099-339f-4875-b75f-d14bf8e1272e</t>
  </si>
  <si>
    <t>Infraestrutura no bairro Aroeira</t>
  </si>
  <si>
    <t>003/2024SEMINF</t>
  </si>
  <si>
    <t>São José do Barreto; Vale Encantado; Praia do Pecado</t>
  </si>
  <si>
    <t>3f3884b5-8b70-4e7f-a120-ee71d4f91eff</t>
  </si>
  <si>
    <t>Imbetiba; Nova Holanda</t>
  </si>
  <si>
    <t>5e0b415f-278e-4940-9549-6702cb0712be</t>
  </si>
  <si>
    <t>Infraestrutura no bairro Novo Horizonte</t>
  </si>
  <si>
    <t>Botafogo; Mirante da Lagoa</t>
  </si>
  <si>
    <t>e01eaf22-c296-4bc0-9545-ee231bf0cfa0</t>
  </si>
  <si>
    <t>Praça no bairro Visconde de Araújo</t>
  </si>
  <si>
    <t>002/2024SEMINF</t>
  </si>
  <si>
    <t>dcfec1a7-92be-4354-98cf-511767030819</t>
  </si>
  <si>
    <t>Praça no bairro Miramar</t>
  </si>
  <si>
    <t>Cajueiros; Botafogo</t>
  </si>
  <si>
    <t>6cf9ce19-f775-4896-84b8-764cd39ec593</t>
  </si>
  <si>
    <t>Quadra Poliesportiva no bairro Engenho da Praia</t>
  </si>
  <si>
    <t>001/2024SEMINF</t>
  </si>
  <si>
    <t>Engenho da Praia</t>
  </si>
  <si>
    <t>7f75defc-d3a5-4673-934a-cf35424a296a</t>
  </si>
  <si>
    <t>Quadra Poliesportiva no bairro Riviera Fluminense</t>
  </si>
  <si>
    <t>Cabiúnas; Campo D'Oeste; Alto dos Cajueiros</t>
  </si>
  <si>
    <t>dc37b505-13ba-41f8-9bf8-50ce82df8877</t>
  </si>
  <si>
    <t>0'9/2024SEMINF</t>
  </si>
  <si>
    <t>Mirante da Lagoa; Campo D'Oeste</t>
  </si>
  <si>
    <t>48bbc019-66c9-436e-961f-4655281f6c94</t>
  </si>
  <si>
    <t>Iluminação Pública no bairro Miramar</t>
  </si>
  <si>
    <t>031/2024SEMIMF</t>
  </si>
  <si>
    <t>Parque Atlântico; Parque União; Cabiúnas</t>
  </si>
  <si>
    <t>0b495b8f-f51f-4312-aec9-f355c09ea0a1</t>
  </si>
  <si>
    <t>005/2024-SEMINF</t>
  </si>
  <si>
    <t>São José do Barreto; Campo D'Oeste</t>
  </si>
  <si>
    <t>7a38588f-3e5e-4838-9bdf-ea80a5fc91f8</t>
  </si>
  <si>
    <t>Saneamento no bairro Cancela Preta</t>
  </si>
  <si>
    <t>062/2023SEMINF</t>
  </si>
  <si>
    <t>Nova Holanda; Malvinas</t>
  </si>
  <si>
    <t>fca265ba-7a15-4e7e-b6aa-aa11dd2edfd5</t>
  </si>
  <si>
    <t>Saneamento no bairro Lagomar</t>
  </si>
  <si>
    <t>17e998da-6626-4a76-b30f-b18cd2160f06</t>
  </si>
  <si>
    <t>Saneamento no bairro Cavaleiros</t>
  </si>
  <si>
    <t>fdf3b8c7-a91d-4e8b-8614-e0478e1ccb0a</t>
  </si>
  <si>
    <t>Saneamento no bairro Cajueiros</t>
  </si>
  <si>
    <t>Jardim Santo Antônio; São Marcos</t>
  </si>
  <si>
    <t>4eb6ceea-a8da-4bbd-803d-6cc7f65ee0bd</t>
  </si>
  <si>
    <t>Obra de Engenharia no bairro Lagoa</t>
  </si>
  <si>
    <t>061/2023SEMINF</t>
  </si>
  <si>
    <t>711588b3-e178-446b-85f0-0fcd8200ede3</t>
  </si>
  <si>
    <t>feb0ddc5-1771-4dcd-abbf-71a883a2d426</t>
  </si>
  <si>
    <t>060/2023SEMINF</t>
  </si>
  <si>
    <t>Granja dos Cavaleiros; Lagomar</t>
  </si>
  <si>
    <t>18d617fd-6d45-4c71-aec3-e55101d655ec</t>
  </si>
  <si>
    <t>Reforma no bairro Cajueiros</t>
  </si>
  <si>
    <t>059/2023SEMINF</t>
  </si>
  <si>
    <t>Campo D'Oeste; Praia do Pecado; Praia Campista</t>
  </si>
  <si>
    <t>5738f70a-345d-43c1-8cf8-53122aee7fe2</t>
  </si>
  <si>
    <t>Botafogo; Horto</t>
  </si>
  <si>
    <t>39606a30-0523-48f9-9d6f-eecfd1d722c5</t>
  </si>
  <si>
    <t>Reforma no bairro Parque União</t>
  </si>
  <si>
    <t>São Marcos; Barra de Macaé; Malvinas</t>
  </si>
  <si>
    <t>cfcfe802-4721-4192-9100-e5d897709c87</t>
  </si>
  <si>
    <t>Reforma no bairro Malvinas</t>
  </si>
  <si>
    <t>3688bbf5-0ccb-402b-a722-f021589bd990</t>
  </si>
  <si>
    <t>057/2023SEMINF</t>
  </si>
  <si>
    <t>Engenho da Praia; Imboassica; São José do Barreto</t>
  </si>
  <si>
    <t>8d198e1e-cea6-460a-ae97-cf6fb5952ea1</t>
  </si>
  <si>
    <t>Ponte no bairro Botafogo</t>
  </si>
  <si>
    <t>056/2023SEMINF</t>
  </si>
  <si>
    <t>Granja dos Cavaleiros; Ajuda de Baixo; Praia Campista</t>
  </si>
  <si>
    <t>8c3c51ea-96b5-4765-b0ea-bf1b5f1458d2</t>
  </si>
  <si>
    <t>Ponte no bairro Imbetiba</t>
  </si>
  <si>
    <t>Novo Cavaleiros; Cancela Preta; Lagoa</t>
  </si>
  <si>
    <t>bef893a2-2270-424e-9bd4-80f79bbde05f</t>
  </si>
  <si>
    <t>Quadra Poliesportiva no bairro Jardim Santo Antônio</t>
  </si>
  <si>
    <t>055/2023seminf</t>
  </si>
  <si>
    <t>São Marcos; Cancela Preta; Novo Horizonte</t>
  </si>
  <si>
    <t>e658ef60-65cb-4692-947a-36fca2c56384</t>
  </si>
  <si>
    <t>055/2023SEMINF</t>
  </si>
  <si>
    <t>Praia do Pecado; Miramar</t>
  </si>
  <si>
    <t>7ec9640d-cf84-468d-b27c-ae1b19474a65</t>
  </si>
  <si>
    <t>Praça no bairro Cajueiros</t>
  </si>
  <si>
    <t>052/2023SEMINF</t>
  </si>
  <si>
    <t>Novo Horizonte; Cavaleiros</t>
  </si>
  <si>
    <t>97e31f2c-eb49-4d93-aa66-dacfef66c265</t>
  </si>
  <si>
    <t>Fronteira; Parque Aeroporto; Aroeira</t>
  </si>
  <si>
    <t>ca587036-18ef-44d6-8fe1-0bcfb3e9ebc0</t>
  </si>
  <si>
    <t>Obra de Engenharia no bairro Novo Cavaleiros</t>
  </si>
  <si>
    <t>Novo Cavaleiros</t>
  </si>
  <si>
    <t>5648071a-551c-4521-9946-52b371251c26</t>
  </si>
  <si>
    <t>Infraestrutura no bairro Visconde de Araújo</t>
  </si>
  <si>
    <t>051/2023SEMINF</t>
  </si>
  <si>
    <t>92f9d9d7-7680-4dad-beac-a430e2c0fa07</t>
  </si>
  <si>
    <t>Obra de Engenharia no bairro Ajuda de Cima</t>
  </si>
  <si>
    <t>Cabiúnas; Mirante da Lagoa</t>
  </si>
  <si>
    <t>32c4f048-c323-4240-9d7b-7b037604f224</t>
  </si>
  <si>
    <t>Infraestrutura no bairro Centro</t>
  </si>
  <si>
    <t>Novo Horizonte; Horto; Lagomar</t>
  </si>
  <si>
    <t>d8a0ae8a-ac77-4d3e-85f0-a944873bbab2</t>
  </si>
  <si>
    <t>6b76cb28-2859-4ddf-ab1f-1183b0b2846d</t>
  </si>
  <si>
    <t>Reforma no bairro Alto dos Cajueiros</t>
  </si>
  <si>
    <t>050/2023SEMINF</t>
  </si>
  <si>
    <t>2f5e23ff-2fd0-44ea-aa7b-8f2be5a1f607</t>
  </si>
  <si>
    <t>Obra de Engenharia no bairro Nova Holanda</t>
  </si>
  <si>
    <t>Novo Horizonte; Campo D'Oeste; Imboassica</t>
  </si>
  <si>
    <t>3debbaa9-4313-47b0-adda-3bd4cdea98dd</t>
  </si>
  <si>
    <t>Reforma no bairro Vale Encantado</t>
  </si>
  <si>
    <t>Cavaleiros; Cabiúnas; Lagoa</t>
  </si>
  <si>
    <t>c182b4bc-8927-4d03-9895-7d232bb66004</t>
  </si>
  <si>
    <t>Infraestrutura no bairro Ajuda de Cima</t>
  </si>
  <si>
    <t>049/2023SEMINF</t>
  </si>
  <si>
    <t>Jardim Santo Antônio; Riviera Fluminense</t>
  </si>
  <si>
    <t>c2385dff-5d6a-4b92-b89e-2df7198ed28c</t>
  </si>
  <si>
    <t>Infraestrutura no bairro Granja dos Cavaleiros</t>
  </si>
  <si>
    <t>Visconde de Araújo; Jardim Santo Antônio</t>
  </si>
  <si>
    <t>24de6e90-3f5c-4407-8329-fd98c7106fd2</t>
  </si>
  <si>
    <t>048/2023SEMINF</t>
  </si>
  <si>
    <t>Virgem Santa; Cabiúnas</t>
  </si>
  <si>
    <t>4e42b065-c4c5-4d33-9fab-e8d0e8bc0f54</t>
  </si>
  <si>
    <t>Bairro da Glória; Cabiúnas</t>
  </si>
  <si>
    <t>5c27d3bb-47d3-49ec-bde7-633703da007e</t>
  </si>
  <si>
    <t>047/2023SEMINF</t>
  </si>
  <si>
    <t>Horto; Botafogo; Cavaleiros</t>
  </si>
  <si>
    <t>b0b1a3b0-d5b0-4516-823a-1e396036e2c0</t>
  </si>
  <si>
    <t>Obra de Engenharia no bairro Novo Horizonte</t>
  </si>
  <si>
    <t>046/2023SEMINF</t>
  </si>
  <si>
    <t>Miramar; Cavaleiros</t>
  </si>
  <si>
    <t>8a889964-94a3-446b-83eb-a2654fdd6819</t>
  </si>
  <si>
    <t>Praça no bairro Fronteira</t>
  </si>
  <si>
    <t>045/2023SEMINF</t>
  </si>
  <si>
    <t>São Marcos; Virgem Santa; Miramar</t>
  </si>
  <si>
    <t>646d3bf7-6ecc-4c66-a594-f7e88d7962a0</t>
  </si>
  <si>
    <t>Obra de Engenharia no bairro Botafogo</t>
  </si>
  <si>
    <t>cbceabb1-a696-4033-a697-cedf33b32709</t>
  </si>
  <si>
    <t>398b6bb7-8692-4185-a2fb-a4bdb4e6d591</t>
  </si>
  <si>
    <t>Praça no bairro São José do Barreto</t>
  </si>
  <si>
    <t>1c3e018e-491b-4187-87b4-981764ad0434</t>
  </si>
  <si>
    <t>Miramar; Parque União; Nova Holanda</t>
  </si>
  <si>
    <t>a9f33d45-a53f-498a-b8c2-5b6a5511f3b5</t>
  </si>
  <si>
    <t>Praça no bairro Nova Esperança</t>
  </si>
  <si>
    <t>Parque Atlântico; Imbetiba; São José do Barreto</t>
  </si>
  <si>
    <t>b23a156d-1357-440d-a4a9-28bbc4351d64</t>
  </si>
  <si>
    <t>Praça no bairro Riviera Fluminense</t>
  </si>
  <si>
    <t>325b1467-fc01-4ef7-9424-4cc9d0a19183</t>
  </si>
  <si>
    <t>Fronteira; Cajueiros</t>
  </si>
  <si>
    <t>381a836c-9774-48d2-acce-a7c697b520ce</t>
  </si>
  <si>
    <t>4cb01741-5635-44d4-b21f-9d144a031435</t>
  </si>
  <si>
    <t>Quadra Poliesportiva no bairro Parque Aeroporto</t>
  </si>
  <si>
    <t>044/2023SEMINF</t>
  </si>
  <si>
    <t>Lagomar; Nova Esperança; Parque União</t>
  </si>
  <si>
    <t>8b4ff52c-0cc6-4b42-950f-4e8c9dbb74f0</t>
  </si>
  <si>
    <t>Quadra Poliesportiva no bairro Fronteira</t>
  </si>
  <si>
    <t>Costa do Sol; Imboassica</t>
  </si>
  <si>
    <t>eae6fe0f-4625-4cad-acbf-d424a536d301</t>
  </si>
  <si>
    <t>Manutenção de Vias no bairro Bairro da Glória</t>
  </si>
  <si>
    <t>042/2023SEMINF</t>
  </si>
  <si>
    <t>Imboassica; Parque União; Riviera Fluminense</t>
  </si>
  <si>
    <t>55feaafe-6b16-4825-8588-c103fc748298</t>
  </si>
  <si>
    <t>Manutenção de Vias no bairro Parque Atlântico</t>
  </si>
  <si>
    <t>f198d5bf-de5c-4955-a0f0-86704529958c</t>
  </si>
  <si>
    <t>Manutenção de Vias no bairro Campo D'Oeste</t>
  </si>
  <si>
    <t>Praia do Pecado; Praia Campista; São José do Barreto</t>
  </si>
  <si>
    <t>5514f590-0869-4299-bd3e-20fd9f4e5ed0</t>
  </si>
  <si>
    <t>Manutenção de Vias no bairro Nova Holanda</t>
  </si>
  <si>
    <t>São José do Barreto; Mirante da Lagoa; Lagomar</t>
  </si>
  <si>
    <t>1f3398d1-43b1-4925-985a-8481b9ee8822</t>
  </si>
  <si>
    <t>Iluminação Pública no bairro Centro</t>
  </si>
  <si>
    <t>041/2023SEMINF</t>
  </si>
  <si>
    <t>Jardim Santo Antônio; Cavaleiros; Praia Campista</t>
  </si>
  <si>
    <t>57136ac3-3c01-469e-92d2-a74fab26468a</t>
  </si>
  <si>
    <t>Manutenção de Vias no bairro Mirante da Lagoa</t>
  </si>
  <si>
    <t>040/2023SEMINF</t>
  </si>
  <si>
    <t>281a06f0-8ab3-41c6-b138-993e628f81ac</t>
  </si>
  <si>
    <t>15db38d1-1624-4d96-aa6c-9c9cdbea3c11</t>
  </si>
  <si>
    <t>Manutenção de Vias no bairro Engenho da Praia</t>
  </si>
  <si>
    <t>f9a80af0-d94d-4a5d-821a-f1a381583608</t>
  </si>
  <si>
    <t>Manutenção de Vias no bairro Ajuda de Baixo</t>
  </si>
  <si>
    <t>Jardim Santo Antônio; Aroeira; Jardim Vitória</t>
  </si>
  <si>
    <t>04b26ac7-961e-4f7f-a465-5892e8a5d24b</t>
  </si>
  <si>
    <t>Manutenção de Vias no bairro Imbetiba</t>
  </si>
  <si>
    <t>Cancela Preta; Aroeira</t>
  </si>
  <si>
    <t>b62c8eea-4ba3-47f0-bb69-4cf01ce635c9</t>
  </si>
  <si>
    <t>Manutenção de Vias no bairro Cancela Preta</t>
  </si>
  <si>
    <t>039/2023SEMINF</t>
  </si>
  <si>
    <t>Cabiúnas; Alto dos Cajueiros; Nova Esperança</t>
  </si>
  <si>
    <t>77a34e37-80d7-407a-8927-defb6e7acad0</t>
  </si>
  <si>
    <t>74f002fb-cba6-4db5-865d-92802ea7afd7</t>
  </si>
  <si>
    <t>Manutenção de Vias no bairro Cabiúnas</t>
  </si>
  <si>
    <t>Jardim Santo Antônio; Fronteira; Jardim Vitória</t>
  </si>
  <si>
    <t>979e135c-9ef8-4168-bbca-50a9c623a447</t>
  </si>
  <si>
    <t>Manutenção de Vias no bairro Nova Esperança</t>
  </si>
  <si>
    <t>Ajuda de Baixo; Novo Horizonte; Parque Aeroporto</t>
  </si>
  <si>
    <t>999bd72a-1d8f-4210-bf3e-6e5f0f0350e1</t>
  </si>
  <si>
    <t>Drenagem no bairro Imboassica</t>
  </si>
  <si>
    <t>038/2023SEMINF</t>
  </si>
  <si>
    <t>d81adf29-3a03-4e03-92ee-962aed21cf7a</t>
  </si>
  <si>
    <t>003df073-2dbf-48f6-9ecb-ad14f8bb5e53</t>
  </si>
  <si>
    <t>Drenagem no bairro Botafogo</t>
  </si>
  <si>
    <t>Riviera Fluminense; Cabiúnas; Campo D'Oeste</t>
  </si>
  <si>
    <t>633ff9a3-6594-418c-ae3d-6be26d9da26f</t>
  </si>
  <si>
    <t>Manutenção de Vias no bairro Ajuda de Cima</t>
  </si>
  <si>
    <t>037/2023SEMINF</t>
  </si>
  <si>
    <t>f1f4bcde-669a-4092-8c80-e1d22dd4e8bc</t>
  </si>
  <si>
    <t>Jardim Vitória; Engenho da Praia</t>
  </si>
  <si>
    <t>f77c8d65-3c03-4103-a82d-8ae8876761eb</t>
  </si>
  <si>
    <t>Miramar; Parque Aeroporto; Horto</t>
  </si>
  <si>
    <t>0691cf36-0936-4ef8-9171-62b87d66be7e</t>
  </si>
  <si>
    <t>Botafogo; São Marcos</t>
  </si>
  <si>
    <t>9edc75e9-43eb-4a4d-a001-f1cb0a703938</t>
  </si>
  <si>
    <t>036/2023SEMINF</t>
  </si>
  <si>
    <t>6904384a-78b3-4d12-af69-c203e34fd488</t>
  </si>
  <si>
    <t>Praça no bairro Cancela Preta</t>
  </si>
  <si>
    <t>Jardim Santo Antônio; Fronteira; Miramar</t>
  </si>
  <si>
    <t>df1c89a3-49c4-4433-ab31-4e42a0e61350</t>
  </si>
  <si>
    <t>Obra de Engenharia no bairro Alto dos Cajueiros</t>
  </si>
  <si>
    <t>d0e310a3-df95-41ab-ba29-3c14e2bd018c</t>
  </si>
  <si>
    <t>Praça no bairro Nova Holanda</t>
  </si>
  <si>
    <t>Lagoa; Alto dos Cajueiros; Malvinas</t>
  </si>
  <si>
    <t>ac2c4751-7a02-4b11-bfae-5e612d9da21b</t>
  </si>
  <si>
    <t>Reforma no bairro Cancela Preta</t>
  </si>
  <si>
    <t>035/2023SEMINF</t>
  </si>
  <si>
    <t>532e09c1-bc9f-4cdf-8170-361e09c71da7</t>
  </si>
  <si>
    <t>Reforma no bairro Praia Campista</t>
  </si>
  <si>
    <t>Riviera Fluminense; Lagoa; Bairro da Glória</t>
  </si>
  <si>
    <t>14c9d0b6-e586-46d2-9b3a-d21fac679567</t>
  </si>
  <si>
    <t>Reforma no bairro Miramar</t>
  </si>
  <si>
    <t>Novo Horizonte; Lagomar</t>
  </si>
  <si>
    <t>65d4899b-15de-4dc8-8556-9363f1811da1</t>
  </si>
  <si>
    <t>Obra de Engenharia no bairro Visconde de Araújo</t>
  </si>
  <si>
    <t>Lagoa; Ajuda de Cima</t>
  </si>
  <si>
    <t>3706ab24-d61b-41c1-b89c-fa0ddb3ad127</t>
  </si>
  <si>
    <t>Reforma no bairro Campo D'Oeste</t>
  </si>
  <si>
    <t>816e097e-1815-47fe-b2a0-2c8edd68e475</t>
  </si>
  <si>
    <t>Ajuda de Baixo; Cavaleiros</t>
  </si>
  <si>
    <t>b097f2ba-9d48-42c1-b4b8-48c72602248c</t>
  </si>
  <si>
    <t>Reforma no bairro Fronteira</t>
  </si>
  <si>
    <t>Botafogo; Imbetiba</t>
  </si>
  <si>
    <t>6c705fda-4dc1-43e3-847c-9a80bf972ad1</t>
  </si>
  <si>
    <t>Parque no bairro Cabiúnas</t>
  </si>
  <si>
    <t>034/2023SEMINF</t>
  </si>
  <si>
    <t>Visconde de Araújo; Novo Horizonte</t>
  </si>
  <si>
    <t>3cfa6e08-b737-4f67-a394-28d799e3e297</t>
  </si>
  <si>
    <t>Cavaleiros; Miramar</t>
  </si>
  <si>
    <t>a7d74cf9-f2ef-43d9-a7cd-d264526522ef</t>
  </si>
  <si>
    <t>Novo Cavaleiros; Virgem Santa; Barra de Macaé</t>
  </si>
  <si>
    <t>47cc364c-976a-4b35-b15a-2df60c52b794</t>
  </si>
  <si>
    <t>032/2023SEMINF</t>
  </si>
  <si>
    <t>Nova Holanda; Mirante da Lagoa</t>
  </si>
  <si>
    <t>f2f25225-0665-49c6-af08-64ebfd0fcb97</t>
  </si>
  <si>
    <t>Praia Campista; Botafogo</t>
  </si>
  <si>
    <t>c38dcbd1-2892-4df5-9e1b-6084fb76d102</t>
  </si>
  <si>
    <t>Coleta de Resíduos no bairro Nova Holanda</t>
  </si>
  <si>
    <t>030/2023SEMINF</t>
  </si>
  <si>
    <t>São José do Barreto; Alto dos Cajueiros; Imbetiba</t>
  </si>
  <si>
    <t>c6fa47e7-e9bc-4099-aa9e-da67cee1593e</t>
  </si>
  <si>
    <t>Coleta de Resíduos no bairro Praia do Pecado</t>
  </si>
  <si>
    <t>a777f1f2-50b6-4a7b-9c6b-2d0c19348b6f</t>
  </si>
  <si>
    <t>Riviera Fluminense; Ajuda de Baixo; São Marcos</t>
  </si>
  <si>
    <t>7395fe62-f5d3-4edf-b231-731e9ea6d1eb</t>
  </si>
  <si>
    <t>Coleta de Resíduos no bairro Cajueiros</t>
  </si>
  <si>
    <t>Praia do Pecado; Sol y Mar; Nova Holanda</t>
  </si>
  <si>
    <t>89655dc1-f1ee-41e7-8316-82f5991b6b64</t>
  </si>
  <si>
    <t>029/2023SEMINF</t>
  </si>
  <si>
    <t>Nova Holanda; Botafogo; Cavaleiros</t>
  </si>
  <si>
    <t>725a537e-cc53-4119-bcf4-338b84835289</t>
  </si>
  <si>
    <t>Obra de Engenharia no bairro Praia do Pecado</t>
  </si>
  <si>
    <t>Aroeira; Riviera Fluminense</t>
  </si>
  <si>
    <t>da7759af-4f62-4d09-92b6-29546f2bef01</t>
  </si>
  <si>
    <t>028/2023SEMINF</t>
  </si>
  <si>
    <t>Nova Esperança; Imbetiba; Parque Aeroporto</t>
  </si>
  <si>
    <t>d9ec8fd4-bf9f-4e81-b833-cde3bbb355b2</t>
  </si>
  <si>
    <t>Obra de Engenharia no bairro Mirante da Lagoa</t>
  </si>
  <si>
    <t>989138cf-b8e5-41d0-bb2b-26e6a8001c4d</t>
  </si>
  <si>
    <t>Saneamento no bairro Novo Cavaleiros</t>
  </si>
  <si>
    <t>027/2023SEMINF</t>
  </si>
  <si>
    <t>c32253c7-8e5a-493c-8b40-8838a0c8e2dc</t>
  </si>
  <si>
    <t>Saneamento no bairro Imboassica</t>
  </si>
  <si>
    <t>Riviera Fluminense; Parque União</t>
  </si>
  <si>
    <t>34eaf69f-c55a-4220-bdb0-7c54d610a902</t>
  </si>
  <si>
    <t>Saneamento no bairro Lagoa</t>
  </si>
  <si>
    <t>Cancela Preta; Cabiúnas; Nova Holanda</t>
  </si>
  <si>
    <t>0f8fe5d1-fdd7-4e9b-ba61-511406abdea1</t>
  </si>
  <si>
    <t>Saneamento no bairro Imbetiba</t>
  </si>
  <si>
    <t>Jardim Vitória; Botafogo; Praia Campista</t>
  </si>
  <si>
    <t>772576e9-b451-4fc5-bf98-6d13d2310166</t>
  </si>
  <si>
    <t>Saneamento no bairro Vale Encantado</t>
  </si>
  <si>
    <t>1d632931-082c-4085-82e4-0b752f235787</t>
  </si>
  <si>
    <t>Saneamento no bairro Costa do Sol</t>
  </si>
  <si>
    <t>Sol y Mar; Alto dos Cajueiros</t>
  </si>
  <si>
    <t>916a400b-9a6d-49ae-91f0-7996b99dd6c8</t>
  </si>
  <si>
    <t>Manutenção de Vias no bairro Novo Horizonte</t>
  </si>
  <si>
    <t>026/2023SEMINF</t>
  </si>
  <si>
    <t>Campo D'Oeste; Imboassica; Riviera Fluminense</t>
  </si>
  <si>
    <t>57c6390b-4fa3-4cd8-9189-fc4ae536eec7</t>
  </si>
  <si>
    <t>Manutenção de Vias no bairro Barra de Macaé</t>
  </si>
  <si>
    <t>Lagomar; Parque Atlântico; Riviera Fluminense</t>
  </si>
  <si>
    <t>79158359-19e3-42a0-896f-f99358fe25ac</t>
  </si>
  <si>
    <t>Manutenção de Vias no bairro Miramar</t>
  </si>
  <si>
    <t>Malvinas; Nova Esperança</t>
  </si>
  <si>
    <t>b2b4f54a-0a73-46d7-abf2-6658e1447a36</t>
  </si>
  <si>
    <t>Obra de Engenharia no bairro Vale Encantado</t>
  </si>
  <si>
    <t>Centro; Nova Holanda; Imbetiba</t>
  </si>
  <si>
    <t>49677a09-3000-431c-8d30-a0b190702095</t>
  </si>
  <si>
    <t>8608f898-215d-468d-aac4-0fd5b76f9ed0</t>
  </si>
  <si>
    <t>Manutenção de Vias no bairro Praia do Pecado</t>
  </si>
  <si>
    <t>00cf3f89-ac8c-476f-8bdb-85412d653c9d</t>
  </si>
  <si>
    <t>Manutenção de Vias no bairro Jardim Santo Antônio</t>
  </si>
  <si>
    <t>São Marcos; Horto; Novo Cavaleiros</t>
  </si>
  <si>
    <t>aefc3986-89ec-42bd-8fb7-88912f731a1f</t>
  </si>
  <si>
    <t>Manutenção de Vias no bairro Cajueiros</t>
  </si>
  <si>
    <t>Lagomar; Engenho da Praia; Costa do Sol</t>
  </si>
  <si>
    <t>7247a27e-fed7-417d-b235-139b2189a293</t>
  </si>
  <si>
    <t>f3fd2176-4516-4309-a322-51289e455515</t>
  </si>
  <si>
    <t>Praia Campista; Centro</t>
  </si>
  <si>
    <t>be86a3d1-e8c8-46ee-91e3-e78db1e1f4cf</t>
  </si>
  <si>
    <t>Costa do Sol; Cabiúnas; Nova Holanda</t>
  </si>
  <si>
    <t>7657f6d6-d0a5-4463-b1bf-edc7b8e77601</t>
  </si>
  <si>
    <t>Manutenção de Vias no bairro Granja dos Cavaleiros</t>
  </si>
  <si>
    <t>4f6d4b30-b37f-424a-8438-465a1693628c</t>
  </si>
  <si>
    <t>Quadra Poliesportiva no bairro Parque União</t>
  </si>
  <si>
    <t>025/2023SEMINF</t>
  </si>
  <si>
    <t>Botafogo; Nova Esperança</t>
  </si>
  <si>
    <t>b00ebf9d-09f5-4e99-94b4-ac364ccf0e02</t>
  </si>
  <si>
    <t>Quadra Poliesportiva no bairro Centro</t>
  </si>
  <si>
    <t>Nova Holanda; Imbetiba</t>
  </si>
  <si>
    <t>4cb3dbbc-05d1-48b1-9f59-1e12765171f5</t>
  </si>
  <si>
    <t>Quadra Poliesportiva no bairro Ajuda de Cima</t>
  </si>
  <si>
    <t>5a9a4c92-38de-40f5-a596-6494215e9419</t>
  </si>
  <si>
    <t>Quadra Poliesportiva no bairro Praia do Pecado</t>
  </si>
  <si>
    <t>Jardim Vitória; Cajueiros; Parque Atlântico</t>
  </si>
  <si>
    <t>af099633-7678-43b4-bf98-a24e221cd48e</t>
  </si>
  <si>
    <t>Quadra Poliesportiva no bairro Alto dos Cajueiros</t>
  </si>
  <si>
    <t>Parque Aeroporto; Vale Encantado; São José do Barreto</t>
  </si>
  <si>
    <t>56cfa557-0892-46cc-8ad7-63f7b3eb7e80</t>
  </si>
  <si>
    <t>Reforma no bairro Lagoa</t>
  </si>
  <si>
    <t>024/2023SEMINF</t>
  </si>
  <si>
    <t>Vale Encantado; Ajuda de Cima; Praia Campista</t>
  </si>
  <si>
    <t>524c2e5a-dc19-42e6-b1b1-9eee96be473f</t>
  </si>
  <si>
    <t>Novo Horizonte; Sol y Mar</t>
  </si>
  <si>
    <t>bf1db0ee-bcf8-434f-b260-e0ab8cba2c16</t>
  </si>
  <si>
    <t>c05dafc9-8b0f-43da-a03e-9e7048401d27</t>
  </si>
  <si>
    <t>a059f793-33f5-4ac8-bdcc-c6f0a8706d77</t>
  </si>
  <si>
    <t>023/2023SEMINF</t>
  </si>
  <si>
    <t>Praia do Pecado; Mirante da Lagoa</t>
  </si>
  <si>
    <t>6bb78eb9-a299-4546-8484-3ccde8612a07</t>
  </si>
  <si>
    <t>Manutenção de Vias no bairro Cavaleiros</t>
  </si>
  <si>
    <t>Lagomar; Ajuda de Cima; Horto</t>
  </si>
  <si>
    <t>f5a106d5-a89e-44c9-998f-be9bbbe2596a</t>
  </si>
  <si>
    <t>Manutenção de Vias no bairro Parque União</t>
  </si>
  <si>
    <t>Riviera Fluminense; Praia Campista</t>
  </si>
  <si>
    <t>50582ade-6e1c-46c4-80c9-8bc3f65bf4bd</t>
  </si>
  <si>
    <t>Cancela Preta; Granja dos Cavaleiros</t>
  </si>
  <si>
    <t>d1397bf9-7fff-40c4-9903-b3563c5b64a0</t>
  </si>
  <si>
    <t>022/2023SEMINF</t>
  </si>
  <si>
    <t>Sol y Mar; Vale Encantado; Novo Horizonte</t>
  </si>
  <si>
    <t>b6d105e3-2cfe-46b8-8bb2-3d632fd975bb</t>
  </si>
  <si>
    <t>Obra de Engenharia no bairro Sol y Mar</t>
  </si>
  <si>
    <t>Nova Holanda; São José do Barreto</t>
  </si>
  <si>
    <t>48f24b96-c311-4f58-96f9-4d3c8f095fe8</t>
  </si>
  <si>
    <t>Infraestrutura no bairro Ajuda de Baixo</t>
  </si>
  <si>
    <t>021/2023SEMINF</t>
  </si>
  <si>
    <t>Botafogo; Mirante da Lagoa; Horto</t>
  </si>
  <si>
    <t>030d5df1-682a-4ef2-b3f1-f1bd10b8ca28</t>
  </si>
  <si>
    <t>018/2023SEMINF</t>
  </si>
  <si>
    <t>Fronteira; Nova Esperança; São Marcos</t>
  </si>
  <si>
    <t>3ad7fc45-7e08-4016-a21e-8afce5a7facb</t>
  </si>
  <si>
    <t>Cancela Preta; Cajueiros</t>
  </si>
  <si>
    <t>4dfa79c9-1c24-4511-9c30-721bb45d25cb</t>
  </si>
  <si>
    <t>82673bf8-4b77-43f9-8073-ce3802211239</t>
  </si>
  <si>
    <t>Obra de Engenharia no bairro Costa do Sol</t>
  </si>
  <si>
    <t>Jardim Vitória; Imbetiba; Horto</t>
  </si>
  <si>
    <t>eb805a05-a77f-4e75-857d-a7c88f2ef4ff</t>
  </si>
  <si>
    <t>Praça no bairro Engenho da Praia</t>
  </si>
  <si>
    <t>017/2023SEMINF</t>
  </si>
  <si>
    <t>Barra de Macaé; Campo D'Oeste; Vale Encantado</t>
  </si>
  <si>
    <t>b2cdc970-a56a-4c28-8845-ed42d0fc808b</t>
  </si>
  <si>
    <t>Reforma no bairro Riviera Fluminense</t>
  </si>
  <si>
    <t>014/2023SEMINF</t>
  </si>
  <si>
    <t>Cabiúnas; Virgem Santa</t>
  </si>
  <si>
    <t>0a88c273-cd90-4b8d-8583-a5e4191988b8</t>
  </si>
  <si>
    <t>c8376897-bb40-4779-a5c8-2ee55c2a2d49</t>
  </si>
  <si>
    <t>013/2023SEMINF</t>
  </si>
  <si>
    <t>Praia do Pecado; Jardim Vitória; Fronteira</t>
  </si>
  <si>
    <t>e1661cfc-9fa2-4ac1-b50d-afc568c8f42b</t>
  </si>
  <si>
    <t>Praça no bairro Costa do Sol</t>
  </si>
  <si>
    <t>Sol y Mar; São José do Barreto</t>
  </si>
  <si>
    <t>ca446731-cdda-4d3e-8b22-d5406ad053e0</t>
  </si>
  <si>
    <t>Praça no bairro São Marcos</t>
  </si>
  <si>
    <t>Cancela Preta; Praia Campista</t>
  </si>
  <si>
    <t>f68094d7-bec8-4047-84d1-4364dc282f3f</t>
  </si>
  <si>
    <t>Manutenção de Vias no bairro Riviera Fluminense</t>
  </si>
  <si>
    <t>012/2023SEMINF</t>
  </si>
  <si>
    <t>Centro; Costa do Sol</t>
  </si>
  <si>
    <t>67d32bd2-9d94-4558-87a2-914bc51c04f6</t>
  </si>
  <si>
    <t>Vale Encantado; Costa do Sol; Engenho da Praia</t>
  </si>
  <si>
    <t>5470c24f-86ce-46c8-a458-526d4e2b9bc0</t>
  </si>
  <si>
    <t>011/2023SEMINF</t>
  </si>
  <si>
    <t>Cabiúnas; Lagomar</t>
  </si>
  <si>
    <t>024f5e6a-2b99-4029-9f20-ba45fb802c48</t>
  </si>
  <si>
    <t>010/2023SEMINF</t>
  </si>
  <si>
    <t>736f806c-2b4f-449f-b607-3bfd76882e14</t>
  </si>
  <si>
    <t>446de819-3b63-48f2-85cc-8904390dc770</t>
  </si>
  <si>
    <t>Manutenção de Vias no bairro Malvinas</t>
  </si>
  <si>
    <t>009/2023SEMINF</t>
  </si>
  <si>
    <t>Lagomar; Praia Campista</t>
  </si>
  <si>
    <t>bb20c8d7-72f9-4e99-a0af-497b6f05cb8f</t>
  </si>
  <si>
    <t>0647b5fc-46f1-4867-b8cc-f1741cc8e143</t>
  </si>
  <si>
    <t>20daf9ca-b39a-4528-8dfb-936c1e2f712b</t>
  </si>
  <si>
    <t>Sol y Mar; Praia do Pecado; Jardim Santo Antônio</t>
  </si>
  <si>
    <t>37a8b079-90ca-49dc-be6d-e6041badda32</t>
  </si>
  <si>
    <t>Alto dos Cajueiros; Nova Holanda</t>
  </si>
  <si>
    <t>13202ade-91a7-4fd2-b6e9-a289da5cda8b</t>
  </si>
  <si>
    <t>Virgem Santa; Nova Holanda</t>
  </si>
  <si>
    <t>5da11096-3bb2-45bd-8f5d-1a381e9d0b94</t>
  </si>
  <si>
    <t>Reforma no bairro Barra de Macaé</t>
  </si>
  <si>
    <t>008/2023SEMINF</t>
  </si>
  <si>
    <t>Parque Aeroporto; Centro</t>
  </si>
  <si>
    <t>2795b3f1-f2ab-47ff-a939-8077bf4e112f</t>
  </si>
  <si>
    <t>Obra de Engenharia no bairro Malvinas</t>
  </si>
  <si>
    <t>007/2023SEMINF</t>
  </si>
  <si>
    <t>Virgem Santa; Imbetiba; Visconde de Araújo</t>
  </si>
  <si>
    <t>8134aef2-308a-4f28-878b-3b493a6eb62e</t>
  </si>
  <si>
    <t>Praça no bairro Malvinas</t>
  </si>
  <si>
    <t>006/2023SEMINF</t>
  </si>
  <si>
    <t>Praia do Pecado; Fronteira</t>
  </si>
  <si>
    <t>c1f26acf-5286-481b-bef7-94e4aca016a8</t>
  </si>
  <si>
    <t>Praça no bairro Imbetiba</t>
  </si>
  <si>
    <t>Parque Atlântico; Ajuda de Cima</t>
  </si>
  <si>
    <t>5ac70f36-ff44-41ed-aa5a-982ab33ee177</t>
  </si>
  <si>
    <t>Praça no bairro Aroeira</t>
  </si>
  <si>
    <t>005/2023SEMINF</t>
  </si>
  <si>
    <t>Barra de Macaé; Sol y Mar; Nova Holanda</t>
  </si>
  <si>
    <t>9a20bf2f-4045-43b1-8b68-3bb0c92d1199</t>
  </si>
  <si>
    <t>Cancela Preta; Barra de Macaé</t>
  </si>
  <si>
    <t>33091b45-9198-4b34-ac84-0bf50635a636</t>
  </si>
  <si>
    <t>Praça no bairro Botafogo</t>
  </si>
  <si>
    <t>004/2023SEMINF</t>
  </si>
  <si>
    <t>Riviera Fluminense; Parque União; Jardim Vitória</t>
  </si>
  <si>
    <t>00df4545-c252-4e27-8137-c860480ab179</t>
  </si>
  <si>
    <t>Praça no bairro Cavaleiros</t>
  </si>
  <si>
    <t>Mirante da Lagoa; Barra de Macaé; Engenho da Praia</t>
  </si>
  <si>
    <t>115c084f-0347-44fc-a9e4-5e3116908631</t>
  </si>
  <si>
    <t>223b9c3f-71a7-4808-8e52-072d7a65279d</t>
  </si>
  <si>
    <t>003/2023SEMINF</t>
  </si>
  <si>
    <t>Miramar; Virgem Santa; Riviera Fluminense</t>
  </si>
  <si>
    <t>e86d4306-bfc1-4319-88db-ee02f0254026</t>
  </si>
  <si>
    <t>d38e614b-cfe5-419d-960f-d6da89d463ff</t>
  </si>
  <si>
    <t>e3a145f1-cb00-4d40-8264-d2ed109fc03e</t>
  </si>
  <si>
    <t>062/2023SEMIMF</t>
  </si>
  <si>
    <t>Ajuda de Cima; Campo D'Oeste</t>
  </si>
  <si>
    <t>bf521868-bd30-4e44-81f8-e268efc0c65e</t>
  </si>
  <si>
    <t>034/2023SEMIMF</t>
  </si>
  <si>
    <t>Aroeira; Praia do Pecado</t>
  </si>
  <si>
    <t>c6d9a0b6-c301-46b5-8b0a-c58d9f1f1f60</t>
  </si>
  <si>
    <t>026/2023SEMIMF</t>
  </si>
  <si>
    <t>8080d231-c042-4d6f-a024-46a637343470</t>
  </si>
  <si>
    <t>Malvinas; Parque Aeroporto; Engenho da Praia</t>
  </si>
  <si>
    <t>cded3aa6-b816-4e28-ac61-54c08281cdb9</t>
  </si>
  <si>
    <t>Praça no bairro Praia do Pecado</t>
  </si>
  <si>
    <t>003/2023SEMIMF</t>
  </si>
  <si>
    <t>1529622b-7048-4bcd-a814-7a0a1826482d</t>
  </si>
  <si>
    <t>061/2023-SEMINF</t>
  </si>
  <si>
    <t>Jardim Vitória; Malvinas</t>
  </si>
  <si>
    <t>d4efa1be-89ae-424f-b541-f77c5e2302b0</t>
  </si>
  <si>
    <t>048/2023-SEMINF</t>
  </si>
  <si>
    <t>Jardim Vitória; Miramar; Alto dos Cajueiros</t>
  </si>
  <si>
    <t>f9ee7fbb-e9d0-40f5-868e-b15d78f3de6d</t>
  </si>
  <si>
    <t>559712e3-bda3-4f80-834c-8d24b016b523</t>
  </si>
  <si>
    <t>n° 062/2023</t>
  </si>
  <si>
    <t>14b53bc1-cd5f-4461-9556-25645fbb1f13</t>
  </si>
  <si>
    <t>017/2023</t>
  </si>
  <si>
    <t>f12e577b-9c4f-4c26-a20f-e00f3c3361a3</t>
  </si>
  <si>
    <t>014/2023</t>
  </si>
  <si>
    <t>e7f806f0-3339-4e27-8036-f9d743bc6cfc</t>
  </si>
  <si>
    <t>008/2023</t>
  </si>
  <si>
    <t>5be4eeaa-1e40-4071-b512-69add500680e</t>
  </si>
  <si>
    <t>051/2022SEMINF</t>
  </si>
  <si>
    <t>Barra de Macaé; Campo D'Oeste</t>
  </si>
  <si>
    <t>66c41a4f-6f2e-4bc6-ab64-4c5379637de5</t>
  </si>
  <si>
    <t>Praça no bairro Parque União</t>
  </si>
  <si>
    <t>050/2022SEMINF</t>
  </si>
  <si>
    <t>2c4bcc75-979a-4f13-ab1b-61cf3c46a39a</t>
  </si>
  <si>
    <t>Cabiúnas; Riviera Fluminense; São José do Barreto</t>
  </si>
  <si>
    <t>91a49503-42c3-4fd9-b4ec-e7b91d88d2a2</t>
  </si>
  <si>
    <t>Obra de Engenharia no bairro Jardim Vitória</t>
  </si>
  <si>
    <t>049/2022SEMINF</t>
  </si>
  <si>
    <t>0bd47da4-e057-4cae-b398-c33a586c8e02</t>
  </si>
  <si>
    <t>Miramar; Praia do Pecado</t>
  </si>
  <si>
    <t>5ea328a7-a7c4-46bd-8d3b-fe437aefe738</t>
  </si>
  <si>
    <t>047/2022SEMINF</t>
  </si>
  <si>
    <t>Novo Cavaleiros; Cancela Preta; Barra de Macaé</t>
  </si>
  <si>
    <t>32ebd7dc-21e8-4d6b-9cd6-e92520ba44af</t>
  </si>
  <si>
    <t>Obra de Engenharia no bairro Horto</t>
  </si>
  <si>
    <t>bd1339d5-410c-4d59-b83e-7a647b2a515e</t>
  </si>
  <si>
    <t>Saneamento no bairro Parque União</t>
  </si>
  <si>
    <t>046/2022SEMINF</t>
  </si>
  <si>
    <t>Novo Cavaleiros; Praia Campista; Fronteira</t>
  </si>
  <si>
    <t>56f1bf46-9ebe-4ae0-899e-10255e0d228f</t>
  </si>
  <si>
    <t>Obra de Engenharia no bairro São Marcos</t>
  </si>
  <si>
    <t>045/2022SEMINF</t>
  </si>
  <si>
    <t>Miramar; Costa do Sol</t>
  </si>
  <si>
    <t>84e23cff-c1d1-410b-b002-f5df90000ed0</t>
  </si>
  <si>
    <t>Obra de Engenharia no bairro Miramar</t>
  </si>
  <si>
    <t>Imbetiba; Barra de Macaé; Nova Holanda</t>
  </si>
  <si>
    <t>8137af27-f446-41f7-bd8e-630b0929b859</t>
  </si>
  <si>
    <t>b09f3321-8e60-4da7-bdea-4c55e675655e</t>
  </si>
  <si>
    <t>Engenho da Praia; Novo Horizonte; Sol y Mar</t>
  </si>
  <si>
    <t>72becaef-9e70-4f6b-9cd9-09511204ac00</t>
  </si>
  <si>
    <t>Cavaleiros; Bairro da Glória; Vale Encantado</t>
  </si>
  <si>
    <t>8fe79d88-0b71-4fe4-8410-a4bc0ab1cf48</t>
  </si>
  <si>
    <t>Regularização Fundiária no bairro Sol y Mar</t>
  </si>
  <si>
    <t>044/2022SEMINF</t>
  </si>
  <si>
    <t>35783a82-77eb-4db3-8181-abd0a5b22a66</t>
  </si>
  <si>
    <t>Regularização Fundiária no bairro Granja dos Cavaleiros</t>
  </si>
  <si>
    <t>Cavaleiros; Virgem Santa; Parque União</t>
  </si>
  <si>
    <t>0f2fef2f-55e9-4916-94d2-e20ebe2dd2b6</t>
  </si>
  <si>
    <t>Regularização Fundiária no bairro Jardim Santo Antônio</t>
  </si>
  <si>
    <t>Vale Encantado; Parque Aeroporto</t>
  </si>
  <si>
    <t>6050fae1-0944-461d-a032-c57f0e24c6c2</t>
  </si>
  <si>
    <t>043/2022SEMINF</t>
  </si>
  <si>
    <t>Visconde de Araújo; Malvinas</t>
  </si>
  <si>
    <t>5d9d0a59-ef13-4d8b-aa4f-a679a3de66d9</t>
  </si>
  <si>
    <t>08e17e44-b3c5-4434-845a-9e7252ddd1d5</t>
  </si>
  <si>
    <t>b94a95ac-e80d-4490-b293-cd490b88d558</t>
  </si>
  <si>
    <t>e5a794cf-a981-474c-a4ed-6e3308307d1a</t>
  </si>
  <si>
    <t>Praça no bairro Sol y Mar</t>
  </si>
  <si>
    <t>040/2022SEMINF</t>
  </si>
  <si>
    <t>4be4f8fa-3761-49ab-8181-0b01a17fefba</t>
  </si>
  <si>
    <t>Cavaleiros; Barra de Macaé</t>
  </si>
  <si>
    <t>a9ce52dc-bd7d-44b3-afe4-72490817c3db</t>
  </si>
  <si>
    <t>Recapeamento no bairro Parque União</t>
  </si>
  <si>
    <t>039/2022SEMINF</t>
  </si>
  <si>
    <t>de7bd90c-91a1-4823-9a1c-974909b48628</t>
  </si>
  <si>
    <t>Recapeamento no bairro Lagoa</t>
  </si>
  <si>
    <t>Nova Esperança; Horto; São José do Barreto</t>
  </si>
  <si>
    <t>42bc01c0-86db-4780-b73b-8b1228ef7929</t>
  </si>
  <si>
    <t>035/2022SEMINF</t>
  </si>
  <si>
    <t>Cancela Preta; Sol y Mar</t>
  </si>
  <si>
    <t>4d0a8ad5-0ded-4fd6-b066-d1c32f2e7419</t>
  </si>
  <si>
    <t>Obra de Engenharia no bairro São José do Barreto</t>
  </si>
  <si>
    <t>034/2022SEMINF</t>
  </si>
  <si>
    <t>a4f5094d-aab4-467a-b6a4-1abd151c140e</t>
  </si>
  <si>
    <t>033/2022SEMINF</t>
  </si>
  <si>
    <t>Parque Atlântico; Bairro da Glória; Nova Holanda</t>
  </si>
  <si>
    <t>b35637a1-7dc3-4dbc-aa97-bcff6559dc15</t>
  </si>
  <si>
    <t>Obra de Engenharia no bairro Cabiúnas</t>
  </si>
  <si>
    <t>Cajueiros; Campo D'Oeste; Imbetiba</t>
  </si>
  <si>
    <t>eeaf6851-e9ed-42d8-a4d3-8de26d226620</t>
  </si>
  <si>
    <t>032/2022SEMINF</t>
  </si>
  <si>
    <t>Vale Encantado; Alto dos Cajueiros; Novo Cavaleiros</t>
  </si>
  <si>
    <t>b2f2ce29-6d20-4016-9884-b7c649f9d38b</t>
  </si>
  <si>
    <t>Parque Aeroporto; Ajuda de Cima</t>
  </si>
  <si>
    <t>58114b10-fe10-4c84-82b6-40b10521f761</t>
  </si>
  <si>
    <t>Manutenção de Vias no bairro Imboassica</t>
  </si>
  <si>
    <t>Aroeira; Miramar</t>
  </si>
  <si>
    <t>13f1d019-5e4d-4fc8-9d66-43299a1dcba3</t>
  </si>
  <si>
    <t>Novo Cavaleiros; Mirante da Lagoa</t>
  </si>
  <si>
    <t>bf66c261-2aea-405e-a987-958de5286d44</t>
  </si>
  <si>
    <t>Malvinas; Cabiúnas</t>
  </si>
  <si>
    <t>3f2bfb31-e93e-46f2-93be-dc7a55fccbcb</t>
  </si>
  <si>
    <t>São Marcos; Nova Esperança</t>
  </si>
  <si>
    <t>60bed09f-d5e7-497e-80d6-50d736207d23</t>
  </si>
  <si>
    <t>66b5fff9-b079-4e41-8a7e-152a17661376</t>
  </si>
  <si>
    <t>Reforma no bairro Virgem Santa</t>
  </si>
  <si>
    <t>031/2022SEMINF</t>
  </si>
  <si>
    <t>Visconde de Araújo; Vale Encantado</t>
  </si>
  <si>
    <t>181335ca-3009-44da-9d67-86e3f446ff4c</t>
  </si>
  <si>
    <t>Novo Cavaleiros; Imbetiba; Cavaleiros</t>
  </si>
  <si>
    <t>237261c7-f0cf-476f-8944-7ee18336ed92</t>
  </si>
  <si>
    <t>Reforma no bairro Jardim Santo Antônio</t>
  </si>
  <si>
    <t>028/2022SEMINF</t>
  </si>
  <si>
    <t>Bairro da Glória; Botafogo; Miramar</t>
  </si>
  <si>
    <t>5b2d99fc-e39c-4930-992b-249992195b7f</t>
  </si>
  <si>
    <t>026/2022SEMINF</t>
  </si>
  <si>
    <t>acd77b21-9543-499b-969f-75a8734da1bb</t>
  </si>
  <si>
    <t>f41ee8d1-e4f6-4791-9083-9e509da3ff27</t>
  </si>
  <si>
    <t>025/2022SEMINF</t>
  </si>
  <si>
    <t>Engenho da Praia; Novo Horizonte; Costa do Sol</t>
  </si>
  <si>
    <t>b9d4e72c-26b4-482a-ba8c-fb92c8669060</t>
  </si>
  <si>
    <t>Terminal no bairro Nova Esperança</t>
  </si>
  <si>
    <t>022/2022SEMINF</t>
  </si>
  <si>
    <t>Horto; Malvinas</t>
  </si>
  <si>
    <t>008f08d8-78b1-4375-8646-fd7afce9c335</t>
  </si>
  <si>
    <t>Terminal no bairro Horto</t>
  </si>
  <si>
    <t>Lagoa; Campo D'Oeste; Cabiúnas</t>
  </si>
  <si>
    <t>642716a0-9923-4ea8-be56-afc424ef0253</t>
  </si>
  <si>
    <t>Terminal no bairro Cancela Preta</t>
  </si>
  <si>
    <t>Granja dos Cavaleiros; Praia do Pecado; Imboassica</t>
  </si>
  <si>
    <t>95496432-0148-4349-8ad4-8a6fa73fcc03</t>
  </si>
  <si>
    <t>021/2022SEMINF</t>
  </si>
  <si>
    <t>322de4d5-f3ba-407f-9cc2-a5bc51817e57</t>
  </si>
  <si>
    <t>25b95137-d914-42ec-9854-3c658fc5b463</t>
  </si>
  <si>
    <t>020/2022SEMINF</t>
  </si>
  <si>
    <t>Parque Aeroporto; Campo D'Oeste</t>
  </si>
  <si>
    <t>4bc033eb-cc62-42c9-a544-3296c1e7973b</t>
  </si>
  <si>
    <t>7b3540cd-0da3-4427-b6db-1d17817def0c</t>
  </si>
  <si>
    <t>017/2022SEMINF</t>
  </si>
  <si>
    <t>Nova Esperança; Lagoa; Campo D'Oeste</t>
  </si>
  <si>
    <t>65b81178-712b-4173-b85c-cffcae6ad082</t>
  </si>
  <si>
    <t>Costa do Sol; Ajuda de Cima; Jardim Vitória</t>
  </si>
  <si>
    <t>2d65e843-3ec7-4c73-b2b9-b5db2f3c8203</t>
  </si>
  <si>
    <t>016/2022SEMINF</t>
  </si>
  <si>
    <t>Novo Cavaleiros; São José do Barreto</t>
  </si>
  <si>
    <t>061789d3-a69d-4fd1-9e20-bb630074c8d2</t>
  </si>
  <si>
    <t>São Marcos; Botafogo</t>
  </si>
  <si>
    <t>40be7869-cf31-4be3-a33d-868d31e4ecb0</t>
  </si>
  <si>
    <t>f51ca629-9740-47c1-b930-bee9ecac145d</t>
  </si>
  <si>
    <t>eea84a09-dc5f-4448-81af-5a5aedcd2c97</t>
  </si>
  <si>
    <t>Reforma no bairro Ajuda de Cima</t>
  </si>
  <si>
    <t>015/2022SEMINF</t>
  </si>
  <si>
    <t>Bairro da Glória; Nova Holanda; Botafogo</t>
  </si>
  <si>
    <t>631ff720-2757-449e-b947-991c2aa11a09</t>
  </si>
  <si>
    <t>c287719a-51c4-4824-bd4a-6567f77d58ee</t>
  </si>
  <si>
    <t>Infraestrutura no bairro Praia Campista</t>
  </si>
  <si>
    <t>014/2022SEMINF</t>
  </si>
  <si>
    <t>ab0b1ce5-3f6e-44ec-86d4-84ccefd7e6d7</t>
  </si>
  <si>
    <t>Infraestrutura no bairro Bairro da Glória</t>
  </si>
  <si>
    <t>Centro; Cabiúnas; São José do Barreto</t>
  </si>
  <si>
    <t>c50b95fc-16e6-4417-bc2a-47b5fba3a730</t>
  </si>
  <si>
    <t>013/2022SEMINF</t>
  </si>
  <si>
    <t>Praia Campista; Cajueiros</t>
  </si>
  <si>
    <t>78d04549-e229-4ea0-b863-d09815d3491a</t>
  </si>
  <si>
    <t>04ff4ff0-f93b-49b3-b80a-e68805fd13f2</t>
  </si>
  <si>
    <t>010/2022SEMINF</t>
  </si>
  <si>
    <t>25f1482f-8c54-4e2b-a810-69f3efd23b45</t>
  </si>
  <si>
    <t>009/2022SEMINF</t>
  </si>
  <si>
    <t>Campo D'Oeste; Praia do Pecado</t>
  </si>
  <si>
    <t>01e011b6-204b-4cea-8a09-782d72801374</t>
  </si>
  <si>
    <t>Cajueiros; Miramar</t>
  </si>
  <si>
    <t>3c769c1e-97fb-4788-8b87-06715a9ca853</t>
  </si>
  <si>
    <t>Manutenção de Vias no bairro Aroeira</t>
  </si>
  <si>
    <t>008/2022SEMINF</t>
  </si>
  <si>
    <t>Alto dos Cajueiros; Fronteira; Cabiúnas</t>
  </si>
  <si>
    <t>c75e49b1-668a-4abc-8f67-318df351eff4</t>
  </si>
  <si>
    <t>Reforma no bairro Lagomar</t>
  </si>
  <si>
    <t>007/2022SEMINF</t>
  </si>
  <si>
    <t>Engenho da Praia; Nova Esperança</t>
  </si>
  <si>
    <t>861aebfd-3057-4c20-947e-0add7e48560a</t>
  </si>
  <si>
    <t>005/2022SEMINF</t>
  </si>
  <si>
    <t>c072032b-8765-4429-99f7-d410c4589929</t>
  </si>
  <si>
    <t>003/2022SEMINF</t>
  </si>
  <si>
    <t>Cancela Preta; Parque União; Ajuda de Baixo</t>
  </si>
  <si>
    <t>4476f5cb-4e74-4ad8-a184-b966329dc542</t>
  </si>
  <si>
    <t>Mirante da Lagoa; Costa do Sol; Novo Cavaleiros</t>
  </si>
  <si>
    <t>0344dc9e-d6cc-4f11-8af2-fc87c7f0af59</t>
  </si>
  <si>
    <t>Recapeamento no bairro Parque Atlântico</t>
  </si>
  <si>
    <t>039/2022SEMIMF</t>
  </si>
  <si>
    <t>Imbetiba; Parque Aeroporto; Visconde de Araújo</t>
  </si>
  <si>
    <t>690e953d-87f7-47b1-9eed-7225147a61d1</t>
  </si>
  <si>
    <t>017/2022-SEMINF</t>
  </si>
  <si>
    <t>Imboassica; Engenho da Praia</t>
  </si>
  <si>
    <t>83d698fb-74cf-4ab4-92ab-e3dd2c531c4b</t>
  </si>
  <si>
    <t>028/2022 SEMINF</t>
  </si>
  <si>
    <t>17e1d428-b846-46f5-9d01-0b28137f8929</t>
  </si>
  <si>
    <t>Reforma no bairro Costa do Sol</t>
  </si>
  <si>
    <t>021/2022</t>
  </si>
  <si>
    <t>Miramar; Centro; Imboassica</t>
  </si>
  <si>
    <t>21c130a4-ad29-4505-9559-66baaa1d345f</t>
  </si>
  <si>
    <t>Infraestrutura no bairro Cabiúnas</t>
  </si>
  <si>
    <t>014/2022</t>
  </si>
  <si>
    <t>30c4e4ae-3ae8-42c2-bee6-9f36dc663d43</t>
  </si>
  <si>
    <t>127/2021SEMINF</t>
  </si>
  <si>
    <t>São José do Barreto; Cajueiros</t>
  </si>
  <si>
    <t>ed50d474-4c50-4cdb-8019-80c8cc4f4af6</t>
  </si>
  <si>
    <t>Iluminação Pública no bairro Barra de Macaé</t>
  </si>
  <si>
    <t>032/2021SEMINF</t>
  </si>
  <si>
    <t>a2d9f8b4-8a10-4652-b56c-9b34c60b6b62</t>
  </si>
  <si>
    <t>Iluminação Pública no bairro São Marcos</t>
  </si>
  <si>
    <t>d5dae790-c235-47af-93b1-a731658e1b82</t>
  </si>
  <si>
    <t>Iluminação Pública no bairro Imbetiba</t>
  </si>
  <si>
    <t>f1469f83-92e7-480d-ab23-07da556bac86</t>
  </si>
  <si>
    <t>Iluminação Pública no bairro Jardim Santo Antônio</t>
  </si>
  <si>
    <t>Barra de Macaé; Granja dos Cavaleiros; Costa do Sol</t>
  </si>
  <si>
    <t>c4c65995-eeed-4c2c-b3cc-7817902ccc7d</t>
  </si>
  <si>
    <t>Vale Encantado; Lagomar; Visconde de Araújo</t>
  </si>
  <si>
    <t>8b46e1ff-97eb-4138-9687-4a818da63a55</t>
  </si>
  <si>
    <t>Iluminação Pública no bairro Novo Horizonte</t>
  </si>
  <si>
    <t>Virgem Santa; Ajuda de Cima; Parque União</t>
  </si>
  <si>
    <t>a71287ea-5754-434a-8bf5-1284beafcba7</t>
  </si>
  <si>
    <t>Iluminação Pública no bairro Granja dos Cavaleiros</t>
  </si>
  <si>
    <t>d8065b2c-f473-4b3c-b0e9-20abd90f6c43</t>
  </si>
  <si>
    <t>Iluminação Pública no bairro Alto dos Cajueiros</t>
  </si>
  <si>
    <t>Virgem Santa; Botafogo; Ajuda de Cima</t>
  </si>
  <si>
    <t>de9e1188-b8f2-4d11-ab9c-0928f37e7162</t>
  </si>
  <si>
    <t>Manutenção de Vias no bairro Praia Campista</t>
  </si>
  <si>
    <t>031/2021SEMINF</t>
  </si>
  <si>
    <t>Horto; São Marcos; Parque União</t>
  </si>
  <si>
    <t>cdaf681f-b89c-4bc9-8df8-ad8c23e6c4a0</t>
  </si>
  <si>
    <t>Manutenção de Vias no bairro Vale Encantado</t>
  </si>
  <si>
    <t>71b8c2da-8724-4c8d-adce-0e0ec22d20f1</t>
  </si>
  <si>
    <t>030/2021SEMINF</t>
  </si>
  <si>
    <t>Malvinas; Centro</t>
  </si>
  <si>
    <t>b67d2d90-1a55-473a-8f01-7577dcb6ebe1</t>
  </si>
  <si>
    <t>Fronteira; Novo Cavaleiros</t>
  </si>
  <si>
    <t>b0c6c83a-0aef-4ab0-a80f-461166ae628f</t>
  </si>
  <si>
    <t>Malvinas; Novo Horizonte</t>
  </si>
  <si>
    <t>e0b77035-6bb1-4820-97ad-538ddffba449</t>
  </si>
  <si>
    <t>Nova Esperança; Praia do Pecado; Virgem Santa</t>
  </si>
  <si>
    <t>8e92ba9b-e7ab-4413-9a96-3af149b0a238</t>
  </si>
  <si>
    <t>Praia Campista; Lagomar; Parque União</t>
  </si>
  <si>
    <t>522f2f3f-e7ce-470b-a6ce-1ec4a1aafc30</t>
  </si>
  <si>
    <t>Sol y Mar; Parque Aeroporto</t>
  </si>
  <si>
    <t>53475f43-c790-4b11-8ba9-18046dac1b00</t>
  </si>
  <si>
    <t>029/2021SEMINF</t>
  </si>
  <si>
    <t>Bairro da Glória; Cavaleiros; Jardim Vitória</t>
  </si>
  <si>
    <t>61db4ea6-3eb7-46f0-8ed9-4877d809c302</t>
  </si>
  <si>
    <t>Obra de Engenharia no bairro Campo D'Oeste</t>
  </si>
  <si>
    <t>Miramar; Parque União</t>
  </si>
  <si>
    <t>6a010bcf-7e69-4498-892f-de127f47b22b</t>
  </si>
  <si>
    <t>Cabiúnas; Miramar</t>
  </si>
  <si>
    <t>9c89d3f2-2e5e-4820-b376-6ecb184bec1d</t>
  </si>
  <si>
    <t>Obra de Engenharia no bairro Parque Atlântico</t>
  </si>
  <si>
    <t>Bairro da Glória; Praia Campista</t>
  </si>
  <si>
    <t>e89e92f5-13cf-44aa-9cf0-a54f3e80ca5d</t>
  </si>
  <si>
    <t>fcce4b6d-41b0-4444-9ade-0a965d37981c</t>
  </si>
  <si>
    <t>Imboassica; Horto; Cajueiros</t>
  </si>
  <si>
    <t>d18673c9-3ce5-47ec-8008-c7f3375ec17f</t>
  </si>
  <si>
    <t>Centro; Ajuda de Cima</t>
  </si>
  <si>
    <t>2c92ba4d-73b3-4af2-8c87-1cf3e3484b67</t>
  </si>
  <si>
    <t>028/2021SEMINF</t>
  </si>
  <si>
    <t>Bairro da Glória; Mirante da Lagoa; Miramar</t>
  </si>
  <si>
    <t>e0092699-99ff-4237-b019-254b8f2ed5dc</t>
  </si>
  <si>
    <t>Reforma no bairro Novo Cavaleiros</t>
  </si>
  <si>
    <t>46a0afd4-5c2c-4eee-a921-474d5f6f96ca</t>
  </si>
  <si>
    <t>027/2021SEMINF</t>
  </si>
  <si>
    <t>bcd866de-9817-450d-b1a6-ac70f03cc6da</t>
  </si>
  <si>
    <t>Reforma no bairro Sol y Mar</t>
  </si>
  <si>
    <t>59c2268e-cf97-42cd-9a8a-fc52d5a1b2c9</t>
  </si>
  <si>
    <t>Reforma no bairro Parque Aeroporto</t>
  </si>
  <si>
    <t>Alto dos Cajueiros; Imboassica</t>
  </si>
  <si>
    <t>af2f11d2-4dcf-4dd1-9fbf-2a52427421ea</t>
  </si>
  <si>
    <t>Reforma no bairro Parque Atlântico</t>
  </si>
  <si>
    <t>a45c3fd4-c7d8-40fa-87f5-c873b6a0a449</t>
  </si>
  <si>
    <t>Jardim Santo Antônio; Novo Cavaleiros; Mirante da Lagoa</t>
  </si>
  <si>
    <t>9030b024-3881-4336-983c-91740ebf2132</t>
  </si>
  <si>
    <t>Drenagem no bairro Imbetiba</t>
  </si>
  <si>
    <t>025/2021SEMINF</t>
  </si>
  <si>
    <t>Engenho da Praia; São Marcos; Lagomar</t>
  </si>
  <si>
    <t>c7f400da-3ae7-4201-97c9-8f0c837f84e4</t>
  </si>
  <si>
    <t>Drenagem no bairro São Marcos</t>
  </si>
  <si>
    <t>473b270f-3139-4ecd-88df-c274d3422888</t>
  </si>
  <si>
    <t>Drenagem no bairro Visconde de Araújo</t>
  </si>
  <si>
    <t>cdc171a0-d70c-4d10-a5f4-ba316a894716</t>
  </si>
  <si>
    <t>020/2021SEMINF</t>
  </si>
  <si>
    <t>Cancela Preta; Riviera Fluminense; Mirante da Lagoa</t>
  </si>
  <si>
    <t>4293ff7c-162a-442b-8075-79f5cb11ae5b</t>
  </si>
  <si>
    <t>5b690bd3-b806-4737-bd99-631fac92525f</t>
  </si>
  <si>
    <t>Ponte no bairro Nova Holanda</t>
  </si>
  <si>
    <t>019/2021SEMINF</t>
  </si>
  <si>
    <t>Cancela Preta; Vale Encantado</t>
  </si>
  <si>
    <t>68ff67cc-1066-4bd4-a969-c5ab1d49112a</t>
  </si>
  <si>
    <t>Saneamento no bairro Jardim Santo Antônio</t>
  </si>
  <si>
    <t>018/2021SEMINF</t>
  </si>
  <si>
    <t>Lagoa; Aroeira; Praia do Pecado</t>
  </si>
  <si>
    <t>a932274c-c060-425b-979e-7374cb4fab30</t>
  </si>
  <si>
    <t>Engenho da Praia; Cajueiros; Barra de Macaé</t>
  </si>
  <si>
    <t>1b698680-860a-49a6-bc75-3ee46a51d3f9</t>
  </si>
  <si>
    <t>Saneamento no bairro Bairro da Glória</t>
  </si>
  <si>
    <t>Parque Atlântico; Novo Horizonte</t>
  </si>
  <si>
    <t>cd9d02b1-baf6-40b6-a5ff-bd794c9c4a15</t>
  </si>
  <si>
    <t>016/2021SEMINF</t>
  </si>
  <si>
    <t>313fa20b-24e8-4902-9277-c878fbee1995</t>
  </si>
  <si>
    <t>Praia Campista; Cabiúnas; Praia do Pecado</t>
  </si>
  <si>
    <t>d4fcdaac-1a1c-4420-986c-2a01d85ae299</t>
  </si>
  <si>
    <t>001/2021SEMINF</t>
  </si>
  <si>
    <t>Imboassica; Miramar; Praia do Pecado</t>
  </si>
  <si>
    <t>9522b76b-4c85-49e8-b4be-2a2264fb10e8</t>
  </si>
  <si>
    <t>Engenho da Praia; Granja dos Cavaleiros; Lagoa</t>
  </si>
  <si>
    <t>8b907524-61a3-49b6-a482-82583f1dca57</t>
  </si>
  <si>
    <t>Riviera Fluminense; Praia do Pecado</t>
  </si>
  <si>
    <t>993cbf02-5007-493d-adc1-3ec1c93f005e</t>
  </si>
  <si>
    <t>Ponte no bairro Malvinas</t>
  </si>
  <si>
    <t>019/2021 SEMINF</t>
  </si>
  <si>
    <t>Cancela Preta; Cavaleiros</t>
  </si>
  <si>
    <t>f7017ad4-f97c-47a7-ab48-7bbffe30ec7f</t>
  </si>
  <si>
    <t>018/2021 SEMINF</t>
  </si>
  <si>
    <t>67005b45-c3b3-4d44-855d-bf9ef19c7053</t>
  </si>
  <si>
    <t>007/2020SEMINF</t>
  </si>
  <si>
    <t>623bb045-4c44-415d-9902-267d05ff1bde</t>
  </si>
  <si>
    <t>0b870e19-89c8-462b-8d61-6c55a67b59eb</t>
  </si>
  <si>
    <t>005/2020SEMINF</t>
  </si>
  <si>
    <t>0841f289-1e98-4da6-940b-4a106bd82327</t>
  </si>
  <si>
    <t>004/2020SEMINF</t>
  </si>
  <si>
    <t>Fronteira; Novo Horizonte</t>
  </si>
  <si>
    <t>586dc6b3-37e1-4ead-9084-9f52e74323e8</t>
  </si>
  <si>
    <t>002/2020SEMINF</t>
  </si>
  <si>
    <t>Parque União; Cajueiros</t>
  </si>
  <si>
    <t>7b8aa3db-45aa-460e-a90f-a63d8ebe76c4</t>
  </si>
  <si>
    <t>Recapeamento no bairro Nova Esperança</t>
  </si>
  <si>
    <t>São José do Barreto; Barra de Macaé; Ajuda de Cima</t>
  </si>
  <si>
    <t>221ee17a-818e-48a4-9abf-24002e16c508</t>
  </si>
  <si>
    <t>001/2020SEMINF</t>
  </si>
  <si>
    <t>Cancela Preta; São José do Barreto</t>
  </si>
  <si>
    <t>bf103841-0424-4a25-a231-72fd66f37ace</t>
  </si>
  <si>
    <t>048/2020-FMS</t>
  </si>
  <si>
    <t>Bairro da Glória; Granja dos Cavaleiros; Lagoa</t>
  </si>
  <si>
    <t>f8556289-b901-4f0e-8624-ed64a63a466e</t>
  </si>
  <si>
    <t>005/2020 SEMINF</t>
  </si>
  <si>
    <t>Centro; Parque União</t>
  </si>
  <si>
    <t>0175beaa-b9c4-44f7-90bf-a33a209356df</t>
  </si>
  <si>
    <t>f8c4ec21-a025-42ea-8569-2ac217b621a3</t>
  </si>
  <si>
    <t>004/2020 SEMINF</t>
  </si>
  <si>
    <t>b0b46526-b07e-404e-bec5-9f2988081906</t>
  </si>
  <si>
    <t>Miramar; Parque Atlântico</t>
  </si>
  <si>
    <t>e16719b1-659b-4703-abf9-fbc64e27dc8a</t>
  </si>
  <si>
    <t>Recapeamento no bairro Engenho da Praia</t>
  </si>
  <si>
    <t>002/2020 SEMINF</t>
  </si>
  <si>
    <t>Sol y Mar; Lagomar; Imbetiba</t>
  </si>
  <si>
    <t>a5dbc55e-c34e-4124-844b-88b42ab203e3</t>
  </si>
  <si>
    <t>Recapeamento no bairro Ajuda de Cima</t>
  </si>
  <si>
    <t>1673353d-a1b6-4538-9021-40637374583c</t>
  </si>
  <si>
    <t>Recapeamento no bairro Praia Campista</t>
  </si>
  <si>
    <t>Nova Holanda; Visconde de Araújo; Centro</t>
  </si>
  <si>
    <t>f03f6fa1-f581-455c-98d9-dcafd8520eda</t>
  </si>
  <si>
    <t>009/2020</t>
  </si>
  <si>
    <t>Jardim Santo Antônio; Centro</t>
  </si>
  <si>
    <t>56f0c900-c126-4d03-83d5-5978fcbff2c9</t>
  </si>
  <si>
    <t>002/2020</t>
  </si>
  <si>
    <t>Cavaleiros; Malvinas</t>
  </si>
  <si>
    <t>939da9a9-a544-4d70-91ea-25c5b476042a</t>
  </si>
  <si>
    <t>Manutenção de Vias no bairro Alto dos Cajueiros</t>
  </si>
  <si>
    <t>029/2019-fms</t>
  </si>
  <si>
    <t>Lagomar; Miramar; Bairro da Glória</t>
  </si>
  <si>
    <t>b7e5fd9a-348f-4bd6-bc4b-685eb7a721a6</t>
  </si>
  <si>
    <t>029/2019-FMS</t>
  </si>
  <si>
    <t>1bbc1971-80a6-4ba6-bf91-750d16d7af66</t>
  </si>
  <si>
    <t>012/2019-FMS</t>
  </si>
  <si>
    <t>Barra de Macaé; São Marcos</t>
  </si>
  <si>
    <t>05ab61b0-cbbe-49fc-9c5c-f281f6665701</t>
  </si>
  <si>
    <t>011/2019 SEMINF</t>
  </si>
  <si>
    <t>Botafogo; Granja dos Cavaleiros; Praia do Pecado</t>
  </si>
  <si>
    <t>88372bce-254a-46dc-8ce7-eb23fb860500</t>
  </si>
  <si>
    <t>009/2019 SEMINF</t>
  </si>
  <si>
    <t>5f6f4e6e-b340-4984-805e-2188ecec593d</t>
  </si>
  <si>
    <t>75ce52e3-e6bb-41e8-b7fe-a9f554ae37aa</t>
  </si>
  <si>
    <t>Recapeamento no bairro São José do Barreto</t>
  </si>
  <si>
    <t>004/2019 SEMINF</t>
  </si>
  <si>
    <t>4c2dcfcd-0c55-435a-bb08-677b2e1bf7cc</t>
  </si>
  <si>
    <t>Recapeamento no bairro Ajuda de Baixo</t>
  </si>
  <si>
    <t>Cabiúnas; Lagoa</t>
  </si>
  <si>
    <t>51cd5419-f669-4a8c-9a5d-edf0184ded5c</t>
  </si>
  <si>
    <t>001/2019 SEMINF</t>
  </si>
  <si>
    <t>Parque Atlântico; Jardim Santo Antônio; Imboassica</t>
  </si>
  <si>
    <t>36709b0a-5af3-49c7-b475-ef9696637d3a</t>
  </si>
  <si>
    <t>001/2019 SEMAOB</t>
  </si>
  <si>
    <t>Imboassica; Novo Horizonte</t>
  </si>
  <si>
    <t>41adaa54-1c50-4a10-812e-7da710467755</t>
  </si>
  <si>
    <t>Recapeamento no bairro Jardim Vitória</t>
  </si>
  <si>
    <t>004/2019 - SEMI</t>
  </si>
  <si>
    <t>Novo Cavaleiros; Fronteira; Costa do Sol</t>
  </si>
  <si>
    <t>60ff5456-a990-4556-8a4e-96b5d4427724</t>
  </si>
  <si>
    <t>Obra de Engenharia no bairro Engenho da Praia</t>
  </si>
  <si>
    <t>049/2019</t>
  </si>
  <si>
    <t>Malvinas; Granja dos Cavaleiros; Lagoa</t>
  </si>
  <si>
    <t>688a5749-562b-413a-af8c-4d16be91956f</t>
  </si>
  <si>
    <t>988f764e-f10a-4572-9679-2732364ac548</t>
  </si>
  <si>
    <t>048/2019</t>
  </si>
  <si>
    <t>Novo Cavaleiros; Miramar</t>
  </si>
  <si>
    <t>38e13369-84f3-41a7-b449-e548cf9ffbf3</t>
  </si>
  <si>
    <t>047/2019</t>
  </si>
  <si>
    <t>Horto; Barra de Macaé</t>
  </si>
  <si>
    <t>b410dbd0-326c-44f1-aa36-2f5f652ada53</t>
  </si>
  <si>
    <t>Obra de Engenharia no bairro Ajuda de Baixo</t>
  </si>
  <si>
    <t>046/2019</t>
  </si>
  <si>
    <t>Praia do Pecado; Novo Cavaleiros</t>
  </si>
  <si>
    <t>6d7fc3f9-e989-4f54-a64e-ec8e9fcd9efc</t>
  </si>
  <si>
    <t>Nova Esperança; Barra de Macaé; Imboassica</t>
  </si>
  <si>
    <t>6743c585-11aa-42eb-a3d6-e64ea6127cb7</t>
  </si>
  <si>
    <t>f60e2b20-e362-4724-aa50-91639deadab5</t>
  </si>
  <si>
    <t>Visconde de Araújo; Imboassica; Ajuda de Cima</t>
  </si>
  <si>
    <t>23fdda57-8a0d-41ee-8d96-bed72f336449</t>
  </si>
  <si>
    <t>038/2019</t>
  </si>
  <si>
    <t>cea872ab-f724-4ce0-b451-9db89b5eeecb</t>
  </si>
  <si>
    <t>029/2019</t>
  </si>
  <si>
    <t>Botafogo; Jardim Santo Antônio; Lagomar</t>
  </si>
  <si>
    <t>0c498e77-b7d0-4647-b217-f14f8d36e2e8</t>
  </si>
  <si>
    <t>Drenagem no bairro Engenho da Praia</t>
  </si>
  <si>
    <t>028/2019</t>
  </si>
  <si>
    <t>863acfd4-bdfb-4090-8af2-278ff4380019</t>
  </si>
  <si>
    <t>Drenagem no bairro Granja dos Cavaleiros</t>
  </si>
  <si>
    <t>Aroeira; Lagomar; Nova Holanda</t>
  </si>
  <si>
    <t>a66d545b-69c0-4c6d-b805-73d83ac52930</t>
  </si>
  <si>
    <t>Reforma no bairro Nova Esperança</t>
  </si>
  <si>
    <t>021/2019</t>
  </si>
  <si>
    <t>Visconde de Araújo; Virgem Santa; Cavaleiros</t>
  </si>
  <si>
    <t>74f13ee9-c5ce-4aa1-9b60-52f628cfb4c9</t>
  </si>
  <si>
    <t>Praça no bairro Mirante da Lagoa</t>
  </si>
  <si>
    <t>020/2019</t>
  </si>
  <si>
    <t>Cavaleiros; São Marcos</t>
  </si>
  <si>
    <t>6f6a5dc7-2681-4aac-bf57-f92e7ce6d074</t>
  </si>
  <si>
    <t>Jardim Vitória; Riviera Fluminense</t>
  </si>
  <si>
    <t>374f9563-4753-4e05-9086-0e9773753e4f</t>
  </si>
  <si>
    <t>005/2019</t>
  </si>
  <si>
    <t>1d874a5f-8ebf-47e3-a528-93e1257db0e1</t>
  </si>
  <si>
    <t>1f4ba596-556e-479c-8ba2-51bbd0713427</t>
  </si>
  <si>
    <t>002/2019</t>
  </si>
  <si>
    <t>Centro; Granja dos Cavaleiros; Miramar</t>
  </si>
  <si>
    <t>a15dd496-ba32-45b9-8287-400d9dca672d</t>
  </si>
  <si>
    <t>001/2019</t>
  </si>
  <si>
    <t>Granja dos Cavaleiros; Visconde de Araújo</t>
  </si>
  <si>
    <t>d1366c92-08a6-4432-89b9-3a8a7d6ce8f6</t>
  </si>
  <si>
    <t>Saneamento no bairro Engenho da Praia</t>
  </si>
  <si>
    <t>140/2018</t>
  </si>
  <si>
    <t>Ajuda de Baixo; Sol y Mar; Cabiúnas</t>
  </si>
  <si>
    <t>2396c4b8-7948-48e5-85c5-0b6205498a28</t>
  </si>
  <si>
    <t>Saneamento no bairro Fronteira</t>
  </si>
  <si>
    <t>Cancela Preta; Cabiúnas; Engenho da Praia</t>
  </si>
  <si>
    <t>1cba87f4-c73e-4841-9110-0fddacd388af</t>
  </si>
  <si>
    <t>Saneamento no bairro Barra de Macaé</t>
  </si>
  <si>
    <t>db3ca982-8c08-4404-81e8-0923c5c999b2</t>
  </si>
  <si>
    <t>Miramar; Nova Holanda</t>
  </si>
  <si>
    <t>efc88fdd-700a-4542-9b3f-696d878629ee</t>
  </si>
  <si>
    <t>Bairro da Glória; Alto dos Cajueiros; São José do Barreto</t>
  </si>
  <si>
    <t>cfc1e879-b193-46cc-a25a-0389bf33727a</t>
  </si>
  <si>
    <t>135/2018</t>
  </si>
  <si>
    <t>Cabiúnas; Praia Campista; Lagoa</t>
  </si>
  <si>
    <t>01d1874d-83e5-44fe-9ef5-ecbe182cfc3d</t>
  </si>
  <si>
    <t>Imboassica; Virgem Santa</t>
  </si>
  <si>
    <t>ec8bd2ea-3351-4106-aa3d-148ec066b6b5</t>
  </si>
  <si>
    <t>São José do Barreto; Alto dos Cajueiros; Miramar</t>
  </si>
  <si>
    <t>b62e2257-7e9e-442e-b551-bec2b23dda26</t>
  </si>
  <si>
    <t>Ajuda de Cima; São Marcos; Praia Campista</t>
  </si>
  <si>
    <t>88ca4c9b-9a85-465b-b045-5cc0dd75cd7b</t>
  </si>
  <si>
    <t>Aroeira; Imbetiba; Lagoa</t>
  </si>
  <si>
    <t>819410d4-df32-429d-bcbe-ccac2ed27bdd</t>
  </si>
  <si>
    <t>Obra de Engenharia no bairro Jardim Santo Antônio</t>
  </si>
  <si>
    <t>Mirante da Lagoa; Praia Campista; Cajueiros</t>
  </si>
  <si>
    <t>4ae6848d-ac80-472d-85dc-eecaaa8a2373</t>
  </si>
  <si>
    <t>Ponte no bairro Cancela Preta</t>
  </si>
  <si>
    <t>131/2018</t>
  </si>
  <si>
    <t>c9820ebc-4538-432d-a307-916117eb2b91</t>
  </si>
  <si>
    <t>ca18f751-8952-4160-a7b3-e596bb415480</t>
  </si>
  <si>
    <t>120/2018</t>
  </si>
  <si>
    <t>Ajuda de Cima; Praia Campista; São José do Barreto</t>
  </si>
  <si>
    <t>cf42bde1-b979-44cc-bf68-a62fa2ad552b</t>
  </si>
  <si>
    <t>f093d7d6-238d-4b6b-b4c2-2ce98a9061ba</t>
  </si>
  <si>
    <t>Riviera Fluminense; Novo Cavaleiros</t>
  </si>
  <si>
    <t>090c6884-9968-44e2-b9e1-ee68d920c810</t>
  </si>
  <si>
    <t>cf1025d8-4914-4e07-8ea8-f934bd50bdc1</t>
  </si>
  <si>
    <t>119/2018</t>
  </si>
  <si>
    <t>Cajueiros; Virgem Santa</t>
  </si>
  <si>
    <t>56f1c446-693c-40bf-aaea-feff983ff643</t>
  </si>
  <si>
    <t>602b5362-d150-463c-bb53-438aeade5f4e</t>
  </si>
  <si>
    <t>Imbetiba; São José do Barreto</t>
  </si>
  <si>
    <t>75f07a39-d5ad-4c69-9457-5bccc5d2bf35</t>
  </si>
  <si>
    <t>Reforma no bairro Nova Holanda</t>
  </si>
  <si>
    <t>Cancela Preta; Virgem Santa; Barra de Macaé</t>
  </si>
  <si>
    <t>2fcfc786-77e4-4382-9293-b3e95d10491c</t>
  </si>
  <si>
    <t>Reforma no bairro São Marcos</t>
  </si>
  <si>
    <t>112/2018</t>
  </si>
  <si>
    <t>b9047177-d5cc-4719-a6aa-5b68e3f39bcb</t>
  </si>
  <si>
    <t>11a2f62c-8d48-4319-81b3-5f0bff266360</t>
  </si>
  <si>
    <t>110/2018</t>
  </si>
  <si>
    <t>Praia do Pecado; Parque Atlântico</t>
  </si>
  <si>
    <t>42fcf56a-6b4f-444a-8b8a-fb0d097f4f3e</t>
  </si>
  <si>
    <t>109/2018</t>
  </si>
  <si>
    <t>eee50829-b3bc-4a3f-a8df-d8c492b137f5</t>
  </si>
  <si>
    <t>90bd0f3b-4a34-4608-acda-8576d28bd9b1</t>
  </si>
  <si>
    <t>105/2018</t>
  </si>
  <si>
    <t>Virgem Santa; Parque Atlântico</t>
  </si>
  <si>
    <t>40f807f7-c847-4d32-8609-253654a704b9</t>
  </si>
  <si>
    <t>095/2018</t>
  </si>
  <si>
    <t>Virgem Santa; Parque Atlântico; Visconde de Araújo</t>
  </si>
  <si>
    <t>dbebf30a-c574-466e-90dc-bab663d6b012</t>
  </si>
  <si>
    <t>Parque União; Cancela Preta; Barra de Macaé</t>
  </si>
  <si>
    <t>c09f8463-b1a4-4811-b4dc-e40c546ce77f</t>
  </si>
  <si>
    <t>ac95ded2-4a9f-4ab2-8c98-ee2729ad4853</t>
  </si>
  <si>
    <t>Imbetiba; Parque Atlântico</t>
  </si>
  <si>
    <t>dee22044-ed90-4fd3-9c23-7ac1649c73c8</t>
  </si>
  <si>
    <t>094/2018</t>
  </si>
  <si>
    <t>Nova Holanda; Virgem Santa; Visconde de Araújo</t>
  </si>
  <si>
    <t>a8b2a7eb-9793-4322-86c7-9126df58ae1c</t>
  </si>
  <si>
    <t>Horto; Fronteira; Parque Atlântico</t>
  </si>
  <si>
    <t>270e8ddb-6a9f-471c-85cd-4c9ccaea423c</t>
  </si>
  <si>
    <t>Riviera Fluminense; Virgem Santa; Mirante da Lagoa</t>
  </si>
  <si>
    <t>48449cee-757f-4d98-b189-9a169193c486</t>
  </si>
  <si>
    <t>Ajuda de Baixo; Barra de Macaé</t>
  </si>
  <si>
    <t>f282852e-5949-46d9-a21d-f30620673085</t>
  </si>
  <si>
    <t>Bairro da Glória; Parque Aeroporto; Engenho da Praia</t>
  </si>
  <si>
    <t>228770b0-2c7b-4201-8985-eff053880bb9</t>
  </si>
  <si>
    <t>090/2018</t>
  </si>
  <si>
    <t>Cajueiros; Campo D'Oeste</t>
  </si>
  <si>
    <t>d8d26aec-96b5-4c5e-ba7c-94fc2770529f</t>
  </si>
  <si>
    <t>Reforma no bairro Cabiúnas</t>
  </si>
  <si>
    <t>Virgem Santa; Jardim Santo Antônio; Cavaleiros</t>
  </si>
  <si>
    <t>51b9cf7c-4dbf-4415-be5e-bc645bbd28ae</t>
  </si>
  <si>
    <t>087/2018</t>
  </si>
  <si>
    <t>39a374d7-78b8-4293-92b5-74cfcb41061a</t>
  </si>
  <si>
    <t>Virgem Santa; Mirante da Lagoa</t>
  </si>
  <si>
    <t>e711a0f4-109d-4b72-8a73-cd65a8d344f4</t>
  </si>
  <si>
    <t>086/2018</t>
  </si>
  <si>
    <t>9b228a5f-0f57-42e2-9b45-34144c2e285a</t>
  </si>
  <si>
    <t>Reforma no bairro Horto</t>
  </si>
  <si>
    <t>Granja dos Cavaleiros; Imbetiba</t>
  </si>
  <si>
    <t>144e78f8-a02b-42b3-ac1f-8cf3614842be</t>
  </si>
  <si>
    <t>Infraestrutura no bairro Jardim Vitória</t>
  </si>
  <si>
    <t>078/2018</t>
  </si>
  <si>
    <t>60b65dc4-1bf7-4256-8740-484972f18916</t>
  </si>
  <si>
    <t>077/2018</t>
  </si>
  <si>
    <t>Cavaleiros; Nova Holanda</t>
  </si>
  <si>
    <t>b908b85c-98b4-4990-b24f-28784611e8bd</t>
  </si>
  <si>
    <t>074/2018</t>
  </si>
  <si>
    <t>Miramar; Malvinas; Ajuda de Cima</t>
  </si>
  <si>
    <t>279c74b9-6fbc-45f6-861d-93939fc19c2a</t>
  </si>
  <si>
    <t>071/2018</t>
  </si>
  <si>
    <t>Nova Holanda; Centro; Novo Cavaleiros</t>
  </si>
  <si>
    <t>47c86b45-5f32-4d6f-b12f-05a63d46c5ff</t>
  </si>
  <si>
    <t>067/2018</t>
  </si>
  <si>
    <t>b3eac1cd-73f9-4e99-b6d1-60c1ddbbcf7f</t>
  </si>
  <si>
    <t>Bairro da Glória; Nova Esperança</t>
  </si>
  <si>
    <t>5b2d47d2-30f7-46f9-b06d-1dfa7ea94b4f</t>
  </si>
  <si>
    <t>066/2018</t>
  </si>
  <si>
    <t>ef075d13-6e14-4279-aae1-6a13e5d844d8</t>
  </si>
  <si>
    <t>c1e6d898-f074-44a0-b4e1-4a13956d256c</t>
  </si>
  <si>
    <t>Costa do Sol; Cabiúnas; Parque União</t>
  </si>
  <si>
    <t>64909ab9-3ebf-4eb1-977c-92e8e766cf6d</t>
  </si>
  <si>
    <t>Limpeza de Canais no bairro Parque Aeroporto</t>
  </si>
  <si>
    <t>021/2018</t>
  </si>
  <si>
    <t>Costa do Sol; Granja dos Cavaleiros</t>
  </si>
  <si>
    <t>f15c1f1f-80ab-465f-b4fb-200acc7d9fbb</t>
  </si>
  <si>
    <t>Limpeza de Canais no bairro Aroeira</t>
  </si>
  <si>
    <t>Jardim Vitória; Engenho da Praia; Lagomar</t>
  </si>
  <si>
    <t>e3e02f2b-0f18-4229-9cf8-c4b667d81652</t>
  </si>
  <si>
    <t>019/2018</t>
  </si>
  <si>
    <t>Barra de Macaé; Cabiúnas; Imboassica</t>
  </si>
  <si>
    <t>5ebb621f-49bd-4703-a319-d210c3aa4ce0</t>
  </si>
  <si>
    <t>Ponte no bairro Costa do Sol</t>
  </si>
  <si>
    <t>015/2018</t>
  </si>
  <si>
    <t>4fa05d18-876f-436a-ab5d-eefff3d03f14</t>
  </si>
  <si>
    <t>014/2018</t>
  </si>
  <si>
    <t>c9a2b891-6895-4815-b32f-f3339200e615</t>
  </si>
  <si>
    <t>Imboassica; Riviera Fluminense; Horto</t>
  </si>
  <si>
    <t>22e9563c-fb3f-47f6-ae20-bf12a552d93b</t>
  </si>
  <si>
    <t>56378be2-a4d3-47ba-8f03-7133269328c0</t>
  </si>
  <si>
    <t>Ponte no bairro Novo Cavaleiros</t>
  </si>
  <si>
    <t>098/2017</t>
  </si>
  <si>
    <t>Virgem Santa; Novo Horizonte; Vale Encantado</t>
  </si>
  <si>
    <t>9a69ff1e-d993-437f-815d-5f6c6b7def59</t>
  </si>
  <si>
    <t>Ponte no bairro Novo Horizonte</t>
  </si>
  <si>
    <t>094/2017</t>
  </si>
  <si>
    <t>5019b6cc-25c2-4602-8d7b-246ea8005ce0</t>
  </si>
  <si>
    <t>Ponte no bairro Lagomar</t>
  </si>
  <si>
    <t>a9ce4000-57f4-4f93-aae6-efda93bb9b95</t>
  </si>
  <si>
    <t>091/2017</t>
  </si>
  <si>
    <t>35fc4fc3-2adc-4fc5-abe3-02aebee73555</t>
  </si>
  <si>
    <t>Drenagem no bairro Horto</t>
  </si>
  <si>
    <t>089/2017</t>
  </si>
  <si>
    <t>9a0f39ae-8647-4a4c-b97e-e17c09778712</t>
  </si>
  <si>
    <t>Drenagem no bairro Nova Esperança</t>
  </si>
  <si>
    <t>3f0d002e-702a-492d-a6f4-1f83d161ea42</t>
  </si>
  <si>
    <t>Drenagem no bairro Cabiúnas</t>
  </si>
  <si>
    <t>Nova Holanda; Aroeira</t>
  </si>
  <si>
    <t>6f4ea076-fcd5-410c-be02-1f0b26c7f811</t>
  </si>
  <si>
    <t>Riviera Fluminense; Alto dos Cajueiros; Barra de Macaé</t>
  </si>
  <si>
    <t>3aa2d223-21bf-441c-9939-3dfcafbb4eab</t>
  </si>
  <si>
    <t>087/2017</t>
  </si>
  <si>
    <t>e905cd9f-2a19-4121-ab36-8167de68a7e6</t>
  </si>
  <si>
    <t>078/2017</t>
  </si>
  <si>
    <t>8a8b90af-34a8-44d2-9e70-00d4344a5817</t>
  </si>
  <si>
    <t>076/2017</t>
  </si>
  <si>
    <t>Cajueiros; Praia Campista; São José do Barreto</t>
  </si>
  <si>
    <t>7a20b837-d692-49a0-b097-c8ab65489f7f</t>
  </si>
  <si>
    <t>060/2017</t>
  </si>
  <si>
    <t>Praia do Pecado; Cancela Preta</t>
  </si>
  <si>
    <t>280ff89a-77b8-4aa9-bf44-4a5244bba3db</t>
  </si>
  <si>
    <t>053/2017</t>
  </si>
  <si>
    <t>305c58dc-f761-420f-a40e-5a7b0a84d41f</t>
  </si>
  <si>
    <t>050/2017</t>
  </si>
  <si>
    <t>8f51992c-5779-4ba6-a25c-e001d0fe8212</t>
  </si>
  <si>
    <t>016/2017</t>
  </si>
  <si>
    <t>d079dbba-7bf9-4161-a8c6-1966630d745b</t>
  </si>
  <si>
    <t>001/2017</t>
  </si>
  <si>
    <t>Nova Holanda; São José do Barreto; Imbetiba</t>
  </si>
  <si>
    <t>fd24e441-c120-4e1c-a1c7-2ca1de82870a</t>
  </si>
  <si>
    <t>Imboassica; Parque Atlântico; Horto</t>
  </si>
  <si>
    <t>c9d55b06-abbd-47d4-9aa3-84706da30e9b</t>
  </si>
  <si>
    <t>Manutenção de Vias no bairro Lagomar</t>
  </si>
  <si>
    <t>Novo Horizonte; Aroeira</t>
  </si>
  <si>
    <t>322b2d3e-4956-4382-b2ff-35a1dfd44104</t>
  </si>
  <si>
    <t>638168df-b7e6-4bd8-9446-67b6fbdbb787</t>
  </si>
  <si>
    <t>Manutenção de Vias no bairro Visconde de Araújo</t>
  </si>
  <si>
    <t>Lagomar; Botafogo</t>
  </si>
  <si>
    <t>9b0bc3d6-1e30-4088-bd49-2e04e8d739d0</t>
  </si>
  <si>
    <t>06759096-4ea9-4dad-b49b-2e81d15046dc</t>
  </si>
  <si>
    <t>3d27275a-217d-4e8c-9ba7-211dc13d4f91</t>
  </si>
  <si>
    <t>Imbetiba; Parque União</t>
  </si>
  <si>
    <t>eea86ff9-fee6-41da-aaf5-ac4d8ec4046a</t>
  </si>
  <si>
    <t>66c71aa2-e869-42a4-9861-6b25e1f6d396</t>
  </si>
  <si>
    <t>c01da497-03ea-4878-954a-7ee196a4c214</t>
  </si>
  <si>
    <t>009/2016</t>
  </si>
  <si>
    <t>Mirante da Lagoa; Bairro da Glória; Botafogo</t>
  </si>
  <si>
    <t>1692fe16-fedc-418e-9d0c-ff48859ec113</t>
  </si>
  <si>
    <t>9b5b0e72-8a63-47d7-a7c7-8770d0d34bf1</t>
  </si>
  <si>
    <t>Lagomar; Parque União; Vale Encantado</t>
  </si>
  <si>
    <t>e1b241be-f3c1-4b4b-aaa6-d48bce6e8ad7</t>
  </si>
  <si>
    <t>Sol y Mar; Cabiúnas; São Marcos</t>
  </si>
  <si>
    <t>c3a2e7a6-fe6c-460f-bede-472ac3d88640</t>
  </si>
  <si>
    <t>Mirante da Lagoa; Sol y Mar</t>
  </si>
  <si>
    <t>3f5d6b79-b045-49f5-8259-6998ce39f3f6</t>
  </si>
  <si>
    <t>Obra de Engenharia no bairro Lagomar</t>
  </si>
  <si>
    <t>Miramar; Fronteira; Horto</t>
  </si>
  <si>
    <t>90302546-f209-4f0b-bcbe-d0e2620643e4</t>
  </si>
  <si>
    <t>1809174d-241e-4918-ae51-109c61434dec</t>
  </si>
  <si>
    <t>Horto; São José do Barreto; Praia Campista</t>
  </si>
  <si>
    <t>f6b9d3aa-dcb3-45fd-adce-c48bc0370541</t>
  </si>
  <si>
    <t>Alto dos Cajueiros; Nova Esperança; Centro</t>
  </si>
  <si>
    <t>bc8cd1d7-dc76-4856-bb8b-679d3739f7f7</t>
  </si>
  <si>
    <t>Costa do Sol; São Marcos</t>
  </si>
  <si>
    <t>2434a148-f551-4705-b564-64d4c225271f</t>
  </si>
  <si>
    <t>Malvinas; Bairro da Glória; Costa do Sol</t>
  </si>
  <si>
    <t>fa9cabfe-56a5-43ca-8ae6-a86b1a902242</t>
  </si>
  <si>
    <t>Drenagem no bairro Miramar</t>
  </si>
  <si>
    <t>008/2016</t>
  </si>
  <si>
    <t>76ac5be2-0360-4043-83b2-579f562e2e62</t>
  </si>
  <si>
    <t>Drenagem no bairro Costa do Sol</t>
  </si>
  <si>
    <t>Alto dos Cajueiros; Ajuda de Baixo</t>
  </si>
  <si>
    <t>e4f8e218-7273-4db9-9824-5a767c970ef3</t>
  </si>
  <si>
    <t>71bcd5eb-1bb8-4d77-93ab-1365446dbbb0</t>
  </si>
  <si>
    <t>Drenagem no bairro Bairro da Glória</t>
  </si>
  <si>
    <t>Parque União; Engenho da Praia; Parque Aeroporto</t>
  </si>
  <si>
    <t>ec4135b2-5ba2-436f-8e4e-ec659224e928</t>
  </si>
  <si>
    <t>Drenagem no bairro Alto dos Cajueiros</t>
  </si>
  <si>
    <t>002/2016</t>
  </si>
  <si>
    <t>Mirante da Lagoa; Ajuda de Cima</t>
  </si>
  <si>
    <t>3588aa75-e7d1-4823-ad25-7c12a733f052</t>
  </si>
  <si>
    <t>Drenagem no bairro Lagoa</t>
  </si>
  <si>
    <t>Granja dos Cavaleiros; Malvinas; Bairro da Glória</t>
  </si>
  <si>
    <t>3b1850d1-3e48-4028-b4ac-f3d334183442</t>
  </si>
  <si>
    <t>Lagoa; Imboassica; Novo Horizonte</t>
  </si>
  <si>
    <t>2687922f-9b2a-43ac-bd3a-b9e1ae18d8f5</t>
  </si>
  <si>
    <t>Drenagem no bairro Praia Campista</t>
  </si>
  <si>
    <t>001/2016</t>
  </si>
  <si>
    <t>9ea8b644-6a28-4a81-9798-ad849a6880dd</t>
  </si>
  <si>
    <t>Drenagem no bairro Vale Encantado</t>
  </si>
  <si>
    <t>Ajuda de Cima; São Marcos</t>
  </si>
  <si>
    <t>a7f0caea-6d68-41bf-a996-d1f141c5e2ad</t>
  </si>
  <si>
    <t>503eb4fc-0ba4-4370-aee4-2a3e33ca8f67</t>
  </si>
  <si>
    <t>Horto; São José do Barreto; Ajuda de Cima</t>
  </si>
  <si>
    <t>ee284314-17dd-41c4-9129-443e4d4b1c33</t>
  </si>
  <si>
    <t>030/2015-FMS</t>
  </si>
  <si>
    <t>e650666f-9aa6-4fdb-9779-74905720524b</t>
  </si>
  <si>
    <t>026/2015-FMS</t>
  </si>
  <si>
    <t>Visconde de Araújo; Cancela Preta; Barra de Macaé</t>
  </si>
  <si>
    <t>b0b01f2f-0c9e-41f1-8929-626f07acf5a7</t>
  </si>
  <si>
    <t>066/2015</t>
  </si>
  <si>
    <t>6d968efb-b017-4585-93e0-1bca42f10dbd</t>
  </si>
  <si>
    <t>c30555dc-871a-4f7f-a990-ed34fe326a5f</t>
  </si>
  <si>
    <t>Reforma no bairro Imbetiba</t>
  </si>
  <si>
    <t>Ajuda de Cima; Parque União; Botafogo</t>
  </si>
  <si>
    <t>01a69de2-1242-4998-96da-ed14b69d35d6</t>
  </si>
  <si>
    <t>058/2015</t>
  </si>
  <si>
    <t>3cf16be4-3fc6-432e-812f-75b473980ac1</t>
  </si>
  <si>
    <t>Quadra Poliesportiva no bairro São Marcos</t>
  </si>
  <si>
    <t>057/2015</t>
  </si>
  <si>
    <t>fe1fbd5a-4530-485f-b336-4bd1de81c7c5</t>
  </si>
  <si>
    <t>054/2015</t>
  </si>
  <si>
    <t>Virgem Santa; Praia do Pecado</t>
  </si>
  <si>
    <t>146adb42-a90d-4455-a747-e78684ff6c57</t>
  </si>
  <si>
    <t>050/2015</t>
  </si>
  <si>
    <t>59540c63-d79d-4ab9-8b4a-7d3216842ff7</t>
  </si>
  <si>
    <t>044/2015</t>
  </si>
  <si>
    <t>Botafogo; Campo D'Oeste</t>
  </si>
  <si>
    <t>883db5db-9052-49c1-a47c-647dad99b824</t>
  </si>
  <si>
    <t>030/2015</t>
  </si>
  <si>
    <t>Miramar; Cajueiros; Parque União</t>
  </si>
  <si>
    <t>e2743fd3-9b0a-440a-bfff-54fed920e1f8</t>
  </si>
  <si>
    <t>8010b3f8-1923-463e-82a0-a9e6d5e0af0b</t>
  </si>
  <si>
    <t>029/2015</t>
  </si>
  <si>
    <t>af35c281-e196-4f64-9a55-eeb1d3cecdae</t>
  </si>
  <si>
    <t>Miramar; Engenho da Praia</t>
  </si>
  <si>
    <t>7e97c960-c23f-4d50-bf93-f953ca3893ae</t>
  </si>
  <si>
    <t>028/2015</t>
  </si>
  <si>
    <t>Miramar; Cajueiros</t>
  </si>
  <si>
    <t>cee9c199-c580-40c2-a46f-cc48e41452d8</t>
  </si>
  <si>
    <t>Botafogo; Visconde de Araújo; Bairro da Glória</t>
  </si>
  <si>
    <t>1decd7f0-dd4d-4a3c-80d7-c47835de0d38</t>
  </si>
  <si>
    <t>91a9de8d-6292-41d8-a3de-40335ff9e51b</t>
  </si>
  <si>
    <t>Parque no bairro Ajuda de Baixo</t>
  </si>
  <si>
    <t>027/2015</t>
  </si>
  <si>
    <t>95cc84e1-cb71-4d7a-aeb6-c41d291adf88</t>
  </si>
  <si>
    <t>Horto; Botafogo; Miramar</t>
  </si>
  <si>
    <t>921bb9b9-aec4-42d4-86ee-45aecbaf06f5</t>
  </si>
  <si>
    <t>026/2015</t>
  </si>
  <si>
    <t>Campo D'Oeste; Centro; Sol y Mar</t>
  </si>
  <si>
    <t>cb4d7d26-a14f-4ff4-962f-0d98e5c492da</t>
  </si>
  <si>
    <t>a0f2f31b-86c7-4902-8449-247bd7da8adf</t>
  </si>
  <si>
    <t>ef5c79d0-b49e-46b1-8a8c-bd4fe63eadcd</t>
  </si>
  <si>
    <t>025/2015</t>
  </si>
  <si>
    <t>Jardim Vitória; Parque Atlântico</t>
  </si>
  <si>
    <t>83d455ff-773e-4d39-a3a4-23474e1591c2</t>
  </si>
  <si>
    <t>Engenho da Praia; Jardim Vitória; Lagoa</t>
  </si>
  <si>
    <t>0f88c6f1-323a-4c51-98e9-4b7a8fc393f2</t>
  </si>
  <si>
    <t>022/2015</t>
  </si>
  <si>
    <t>Botafogo; Novo Horizonte; Cavaleiros</t>
  </si>
  <si>
    <t>2aba0271-3c49-499b-a9bf-e853a68a99ad</t>
  </si>
  <si>
    <t>021/2015</t>
  </si>
  <si>
    <t>Cajueiros; Mirante da Lagoa</t>
  </si>
  <si>
    <t>10b1849b-4770-4837-98c6-87f54fa6eca8</t>
  </si>
  <si>
    <t>020/2015</t>
  </si>
  <si>
    <t>Parque Aeroporto; Novo Cavaleiros</t>
  </si>
  <si>
    <t>60e02ba5-c947-42cc-8a2d-57b4bd026569</t>
  </si>
  <si>
    <t>Horto; São José do Barreto; Imboassica</t>
  </si>
  <si>
    <t>07e92aa4-b4c9-4b4b-aa14-d46bf7ab94c4</t>
  </si>
  <si>
    <t>Riviera Fluminense; Vale Encantado; Lagomar</t>
  </si>
  <si>
    <t>86758410-486f-4efc-aa6c-02576e227a37</t>
  </si>
  <si>
    <t>d4129c91-4c90-445f-8df0-d65d063605fb</t>
  </si>
  <si>
    <t>Novo Cavaleiros; Jardim Santo Antônio</t>
  </si>
  <si>
    <t>6e29ff3f-8b5e-4314-ba28-054df5f542c0</t>
  </si>
  <si>
    <t>017/2015</t>
  </si>
  <si>
    <t>São Marcos; Novo Cavaleiros; Granja dos Cavaleiros</t>
  </si>
  <si>
    <t>ef4fad2c-d860-41f0-a24e-e804bc55134a</t>
  </si>
  <si>
    <t>Parque no bairro Imboassica</t>
  </si>
  <si>
    <t>Vale Encantado; Malvinas; Novo Horizonte</t>
  </si>
  <si>
    <t>bf6f0b4b-46b5-4de4-ae9a-b75d11632f1f</t>
  </si>
  <si>
    <t>012/2015</t>
  </si>
  <si>
    <t>Visconde de Araújo; Parque União; Bairro da Glória</t>
  </si>
  <si>
    <t>2de5558d-98dc-4b49-a388-2bdfc9512a0b</t>
  </si>
  <si>
    <t>004/2015</t>
  </si>
  <si>
    <t>Bairro da Glória; Miramar</t>
  </si>
  <si>
    <t>9bed762a-07da-44e7-98b3-931081360f63</t>
  </si>
  <si>
    <t>Imboassica; Lagoa</t>
  </si>
  <si>
    <t>253f3769-0c72-4e4d-82f9-5996c37dfe26</t>
  </si>
  <si>
    <t>0c95af87-8d33-476d-a04d-9929b5f0133a</t>
  </si>
  <si>
    <t>8c3f0e26-876a-43b7-b6b7-4647ad60486c</t>
  </si>
  <si>
    <t>Parque Aeroporto; Virgem Santa</t>
  </si>
  <si>
    <t>6943b4e1-2626-410f-8816-d794fb863d28</t>
  </si>
  <si>
    <t>002/2015</t>
  </si>
  <si>
    <t>39c2fd06-0cd6-4697-b2e4-834865dd98e1</t>
  </si>
  <si>
    <t>Lagoa; Praia do Pecado; Fronteira</t>
  </si>
  <si>
    <t>fcd5ad6d-5eff-4c75-8707-4cc43152e6ae</t>
  </si>
  <si>
    <t>Cancela Preta; Horto; Alto dos Cajueiros</t>
  </si>
  <si>
    <t>eb26b51a-2b0a-47a7-8e78-773339c0b7e1</t>
  </si>
  <si>
    <t>001/2015</t>
  </si>
  <si>
    <t>Granja dos Cavaleiros; Parque Aeroporto</t>
  </si>
  <si>
    <t>66891f11-fb34-48c6-aaa6-123b03cceed5</t>
  </si>
  <si>
    <t>Mirante da Lagoa; Praia do Pecado; Visconde de Araújo</t>
  </si>
  <si>
    <t>179affb3-9823-4a86-bb15-d10079e2c7d1</t>
  </si>
  <si>
    <t>51d3105f-1737-4a70-b59d-40887e140883</t>
  </si>
  <si>
    <t>Reforma no bairro Jardim Vitória</t>
  </si>
  <si>
    <t>Granja dos Cavaleiros; Parque Atlântico</t>
  </si>
  <si>
    <t>7781d47d-0435-4ec6-ba66-2047027f3776</t>
  </si>
  <si>
    <t>Praia Campista; Cavaleiros; Barra de Macaé</t>
  </si>
  <si>
    <t>306b49a1-476e-4dd9-8e18-77858bc5f287</t>
  </si>
  <si>
    <t>Parque Aeroporto; Cabiúnas; Botafogo</t>
  </si>
  <si>
    <t>9b07d23c-59c7-4f7c-9b7d-9694a4d799ab</t>
  </si>
  <si>
    <t>120/2014</t>
  </si>
  <si>
    <t>Vale Encantado; Visconde de Araújo</t>
  </si>
  <si>
    <t>81434753-5ed7-4356-aee7-bcd814a24911</t>
  </si>
  <si>
    <t>118/2014</t>
  </si>
  <si>
    <t>Imboassica; Malvinas</t>
  </si>
  <si>
    <t>71f91cb3-f3e6-4f2e-82af-5b6a9c73ce74</t>
  </si>
  <si>
    <t>117/2014</t>
  </si>
  <si>
    <t>Botafogo; Lagoa</t>
  </si>
  <si>
    <t>1e84c98f-bcaf-461f-9078-d28029f732c0</t>
  </si>
  <si>
    <t>Drenagem no bairro Cajueiros</t>
  </si>
  <si>
    <t>108/2014</t>
  </si>
  <si>
    <t>São José do Barreto; Novo Horizonte; Jardim Vitória</t>
  </si>
  <si>
    <t>fb83c38e-4b69-48b8-86e0-c41e973a989d</t>
  </si>
  <si>
    <t>d03ef67e-49f4-4373-887b-5a4702ffe70c</t>
  </si>
  <si>
    <t>076/2014</t>
  </si>
  <si>
    <t>Mirante da Lagoa; Visconde de Araújo</t>
  </si>
  <si>
    <t>43fe2e92-a0b0-41e9-b8a3-f86ab948d10b</t>
  </si>
  <si>
    <t>d1f3bf4e-00fe-413e-807d-c86490b91c55</t>
  </si>
  <si>
    <t>daef51b4-399d-4c18-bc7d-0fd29f13c567</t>
  </si>
  <si>
    <t>054/2014</t>
  </si>
  <si>
    <t>Alto dos Cajueiros; Cabiúnas; Miramar</t>
  </si>
  <si>
    <t>a7e1d898-9f1f-4ffe-8a67-2d75f6406e47</t>
  </si>
  <si>
    <t>052/2014</t>
  </si>
  <si>
    <t>Jardim Vitória; Nova Esperança; Aroeira</t>
  </si>
  <si>
    <t>f2a04340-a13a-41ff-8001-28e113e77c82</t>
  </si>
  <si>
    <t>Jardim Santo Antônio; Imbetiba; Centro</t>
  </si>
  <si>
    <t>0237cf07-b75a-4d53-b7a3-65206440da40</t>
  </si>
  <si>
    <t>Quadra Poliesportiva no bairro Barra de Macaé</t>
  </si>
  <si>
    <t>050/2014</t>
  </si>
  <si>
    <t>f625ffd1-37ec-4ce2-82d1-9695f5b246a5</t>
  </si>
  <si>
    <t>22c3815f-e8c8-407a-9568-f27f5a77102a</t>
  </si>
  <si>
    <t>003/2014</t>
  </si>
  <si>
    <t>Vale Encantado; Jardim Santo Antônio</t>
  </si>
  <si>
    <t>71579147-6e13-4d8c-b093-08e06d8964e6</t>
  </si>
  <si>
    <t>002/2014</t>
  </si>
  <si>
    <t>Granja dos Cavaleiros; Miramar; Nova Holanda</t>
  </si>
  <si>
    <t>70af56ee-2dd1-4037-a855-6e9f0d1f0b35</t>
  </si>
  <si>
    <t>Aroeira; Cancela Preta; São José do Barreto</t>
  </si>
  <si>
    <t>566ae70e-9e02-4a7c-818d-be26d95dc9b2</t>
  </si>
  <si>
    <t>Saneamento no bairro Virgem Santa</t>
  </si>
  <si>
    <t>025/2013-ESANE</t>
  </si>
  <si>
    <t>Parque União; Mirante da Lagoa</t>
  </si>
  <si>
    <t>48afb618-a492-48d7-a828-0a5bde2fab6d</t>
  </si>
  <si>
    <t>001/2012-ESANE</t>
  </si>
  <si>
    <t>Imboassica; Vale Encantado</t>
  </si>
  <si>
    <t>da601834-0d90-4a09-840c-fad01d715538</t>
  </si>
  <si>
    <t>160/2012</t>
  </si>
  <si>
    <t>São José do Barreto; Horto</t>
  </si>
  <si>
    <t>ac5dd26b-2bb9-4833-a39c-9f070e5f4351</t>
  </si>
  <si>
    <t>Praça no bairro Barra de Macaé</t>
  </si>
  <si>
    <t>d0f20b10-b560-45d9-8954-38ebf0e1e53a</t>
  </si>
  <si>
    <t>Praça no bairro Horto</t>
  </si>
  <si>
    <t>Campo D'Oeste; Nova Holanda</t>
  </si>
  <si>
    <t>7d87ee66-2fec-471b-910d-2e2f191d810d</t>
  </si>
  <si>
    <t>1d147af3-e311-43a5-969f-2963e5fea9e1</t>
  </si>
  <si>
    <t>4da69617-9b23-4dfe-95da-24b6884a2c51</t>
  </si>
  <si>
    <t>Ajuda de Cima; Botafogo; São José do Barreto</t>
  </si>
  <si>
    <t>c9e3e75b-a965-48ab-b8a5-4e3a8af31de1</t>
  </si>
  <si>
    <t>Ajuda de Cima; Granja dos Cavaleiros; Cabiúnas</t>
  </si>
  <si>
    <t>ff18fb31-74b5-4970-adbb-def94b515c74</t>
  </si>
  <si>
    <t>158/2012</t>
  </si>
  <si>
    <t>Parque União; Aroeira</t>
  </si>
  <si>
    <t>1714b7a3-ce2f-4954-b38c-c1450b026666</t>
  </si>
  <si>
    <t>155/2012</t>
  </si>
  <si>
    <t>bc4e7206-7b83-427f-8b8a-085cf46ac52a</t>
  </si>
  <si>
    <t>Horto; Centro</t>
  </si>
  <si>
    <t>c1a88c36-f18a-4368-bccf-0094e6ba5d6c</t>
  </si>
  <si>
    <t>Aroeira; Parque Atlântico; Fronteira</t>
  </si>
  <si>
    <t>8c63ff76-aa24-4351-a3cc-3ac32c64e96b</t>
  </si>
  <si>
    <t>2a565bd4-e42c-418a-b34d-20acbb5893c3</t>
  </si>
  <si>
    <t>Malvinas; Nova Holanda</t>
  </si>
  <si>
    <t>130abdbc-fe93-48b8-8593-d06005ea3a52</t>
  </si>
  <si>
    <t>Iluminação Pública no bairro Sol y Mar</t>
  </si>
  <si>
    <t>153/2012</t>
  </si>
  <si>
    <t>7e3d314b-50e5-496c-9051-863b1cbed60b</t>
  </si>
  <si>
    <t>152/2012</t>
  </si>
  <si>
    <t>1a3825df-7d7c-47a3-9fcf-25632dce22f7</t>
  </si>
  <si>
    <t>Jardim Santo Antônio; Parque Atlântico</t>
  </si>
  <si>
    <t>2346f1ba-c445-44fd-b187-d0015b515ac4</t>
  </si>
  <si>
    <t>Drenagem no bairro Mirante da Lagoa</t>
  </si>
  <si>
    <t>4b9b6863-9efb-46b8-abde-46026451ab01</t>
  </si>
  <si>
    <t>151/2012</t>
  </si>
  <si>
    <t>Jardim Santo Antônio; Cabiúnas; Vale Encantado</t>
  </si>
  <si>
    <t>30a8de45-bb3f-4941-a827-248a0e09e7c5</t>
  </si>
  <si>
    <t>150/2012</t>
  </si>
  <si>
    <t>Cavaleiros; Parque Aeroporto; Fronteira</t>
  </si>
  <si>
    <t>5b7138b2-d299-438a-b661-412f6fceed6e</t>
  </si>
  <si>
    <t>149/2012</t>
  </si>
  <si>
    <t>Parque Aeroporto; Barra de Macaé</t>
  </si>
  <si>
    <t>2590654c-07ec-4917-9e1e-9f07ff8ae979</t>
  </si>
  <si>
    <t>148/2012</t>
  </si>
  <si>
    <t>Cancela Preta; Ajuda de Cima</t>
  </si>
  <si>
    <t>d46acbfa-bc8e-4e91-978e-e6be50fb55da</t>
  </si>
  <si>
    <t>Cajueiros; Campo D'Oeste; Cavaleiros</t>
  </si>
  <si>
    <t>af438ebc-26b4-43ad-b89f-eb490491a51b</t>
  </si>
  <si>
    <t>Novo Cavaleiros; Novo Horizonte</t>
  </si>
  <si>
    <t>3831e085-409f-4049-927c-6970418f0e5a</t>
  </si>
  <si>
    <t>036/2012</t>
  </si>
  <si>
    <t>a1bcba82-c3f3-4aa6-8688-879eca938c06</t>
  </si>
  <si>
    <t>20a0cccc-fb20-45eb-965f-45f894f108f1</t>
  </si>
  <si>
    <t>Granja dos Cavaleiros; Vale Encantado; Imboassica</t>
  </si>
  <si>
    <t>2ed1725e-5878-4160-bcc3-46d7247b0b41</t>
  </si>
  <si>
    <t>035/2012</t>
  </si>
  <si>
    <t>Engenho da Praia; Miramar</t>
  </si>
  <si>
    <t>36f99507-12f8-43e3-b497-b3a96d6411eb</t>
  </si>
  <si>
    <t>031/2012</t>
  </si>
  <si>
    <t>Parque Atlântico; Cajueiros</t>
  </si>
  <si>
    <t>c78063d7-8919-4c6a-8fc8-546faf956684</t>
  </si>
  <si>
    <t>Quadra Poliesportiva no bairro Aroeira</t>
  </si>
  <si>
    <t>030/2012</t>
  </si>
  <si>
    <t>Nova Holanda; Bairro da Glória; Lagoa</t>
  </si>
  <si>
    <t>1243a876-dd2d-4237-8bc7-5b975b6490ff</t>
  </si>
  <si>
    <t>Quadra Poliesportiva no bairro Praia Campista</t>
  </si>
  <si>
    <t>Lagoa; Centro</t>
  </si>
  <si>
    <t>2f3bc57d-dcc9-440e-a8c3-e65d0ef8c096</t>
  </si>
  <si>
    <t>Quadra Poliesportiva no bairro Virgem Santa</t>
  </si>
  <si>
    <t>Parque Atlântico; Praia do Pecado; Botafogo</t>
  </si>
  <si>
    <t>f78f0744-6dbf-4229-adda-14de1f109894</t>
  </si>
  <si>
    <t>005/2012</t>
  </si>
  <si>
    <t>ef5be255-f94d-48a6-a0f0-dcd3d2b9be42</t>
  </si>
  <si>
    <t>001/2012</t>
  </si>
  <si>
    <t>Engenho da Praia; Costa do Sol; Cabiúnas</t>
  </si>
  <si>
    <t>4c2f4759-c507-4f30-9604-4cda29de0770</t>
  </si>
  <si>
    <t>264/2011</t>
  </si>
  <si>
    <t>Aroeira; Novo Horizonte; Parque União</t>
  </si>
  <si>
    <t>0c82ea60-13eb-45fa-928f-4fddfb6619b5</t>
  </si>
  <si>
    <t>5a65aa6d-c700-4727-86c5-daeee7a11ac9</t>
  </si>
  <si>
    <t>Parque Atlântico; Horto; Miramar</t>
  </si>
  <si>
    <t>73de8acc-83ae-4957-8024-55b75ae83795</t>
  </si>
  <si>
    <t>262/2011</t>
  </si>
  <si>
    <t>Ajuda de Baixo; Nova Esperança</t>
  </si>
  <si>
    <t>ea0714c8-d729-4b1c-8e50-17ab74b969e4</t>
  </si>
  <si>
    <t>Parque no bairro Cavaleiros</t>
  </si>
  <si>
    <t>Lagoa; Nova Esperança</t>
  </si>
  <si>
    <t>7eebe362-364e-4238-830c-b51f2ef7d38e</t>
  </si>
  <si>
    <t>Parque no bairro Nova Holanda</t>
  </si>
  <si>
    <t>Parque Aeroporto; Cancela Preta</t>
  </si>
  <si>
    <t>649f2a92-9a89-4a48-8804-1b663c5faf99</t>
  </si>
  <si>
    <t>Quadra Poliesportiva no bairro Cavaleiros</t>
  </si>
  <si>
    <t>251/2011</t>
  </si>
  <si>
    <t>dceb7724-e7f9-4406-aea8-a85206897626</t>
  </si>
  <si>
    <t>Posto de Saúde no bairro Novo Cavaleiros</t>
  </si>
  <si>
    <t>232/2011</t>
  </si>
  <si>
    <t>Cavaleiros; Horto; Lagoa</t>
  </si>
  <si>
    <t>6e1eb773-3d7c-4475-a5d5-dc838c7f565c</t>
  </si>
  <si>
    <t>231/2011</t>
  </si>
  <si>
    <t>9949b8d9-3b9b-4691-9d07-3831372c7bee</t>
  </si>
  <si>
    <t>213/2011</t>
  </si>
  <si>
    <t>Engenho da Praia; Barra de Macaé; Botafogo</t>
  </si>
  <si>
    <t>163d1c1f-baa0-42d8-aa0e-0688ab979474</t>
  </si>
  <si>
    <t>213//2011</t>
  </si>
  <si>
    <t>Jardim Vitória; Jardim Santo Antônio; Cabiúnas</t>
  </si>
  <si>
    <t>9f785678-20f4-40e6-8823-597950c4f364</t>
  </si>
  <si>
    <t>203/2011</t>
  </si>
  <si>
    <t>Engenho da Praia; Bairro da Glória; Praia Campista</t>
  </si>
  <si>
    <t>db691ba7-9f13-492c-86b9-c139731db396</t>
  </si>
  <si>
    <t>Castelo D'Água no bairro Ajuda de Cima</t>
  </si>
  <si>
    <t>130/2011</t>
  </si>
  <si>
    <t>5812b1ca-c0c8-4094-876c-2d23be0bc297</t>
  </si>
  <si>
    <t>Usina Fotovoltaica no bairro Campo D'Oeste</t>
  </si>
  <si>
    <t>007/2011</t>
  </si>
  <si>
    <t>Novo Horizonte; Parque Aeroporto; Cavaleiros</t>
  </si>
  <si>
    <t>1a6c33d5-174f-479e-80d6-2a3d6d55da19</t>
  </si>
  <si>
    <t>Usina Fotovoltaica no bairro Parque União</t>
  </si>
  <si>
    <t>b00c5609-ba15-436e-89cc-0dae5df91fb8</t>
  </si>
  <si>
    <t>nº 108/2008</t>
  </si>
  <si>
    <t>Barra de Macaé; Engenho da Praia</t>
  </si>
  <si>
    <t>be4c6bdc-42f9-4b28-91ea-814117b5d0a6</t>
  </si>
  <si>
    <t>Drenagem no bairro Malvinas</t>
  </si>
  <si>
    <t>Centro; Engenho da Praia</t>
  </si>
  <si>
    <t>a445beea-2d50-4258-b804-c88f6c91a7d5</t>
  </si>
  <si>
    <t>9ebfab06-3dfd-4ba1-948e-70a734257f38</t>
  </si>
  <si>
    <t>Drenagem no bairro Parque Aeroporto</t>
  </si>
  <si>
    <t>b52ed162-4948-40dd-bfe8-4d6c12dac975</t>
  </si>
  <si>
    <t>Drenagem no bairro Nova Holanda</t>
  </si>
  <si>
    <t>898700b1-9bfe-4cec-bc5b-ba09df16d937</t>
  </si>
  <si>
    <t>Drenagem no bairro Centro</t>
  </si>
  <si>
    <t>330/2008</t>
  </si>
  <si>
    <t>Miramar; Aroeira; Cavaleiros</t>
  </si>
  <si>
    <t>a81e7b48-ec8d-4da9-aab1-2b44bb63085c</t>
  </si>
  <si>
    <t>Aroeira; Horto</t>
  </si>
  <si>
    <t>14958a1e-82c5-4b96-a6ba-178fd0fa21b6</t>
  </si>
  <si>
    <t>Drenagem no bairro Cavaleiros</t>
  </si>
  <si>
    <t>São Marcos; Sol y Mar</t>
  </si>
  <si>
    <t>1ed01c60-c9ba-4f9c-a260-031b0d3f8380</t>
  </si>
  <si>
    <t>Drenagem no bairro São José do Barreto</t>
  </si>
  <si>
    <t>Virgem Santa; Costa do Sol; Cabiúnas</t>
  </si>
  <si>
    <t>9f3c24ae-7ba9-4405-86b3-09a56b8bab11</t>
  </si>
  <si>
    <t>Parque Atlântico; Praia Campista; Granja dos Cavaleiros</t>
  </si>
  <si>
    <t>9e885aff-96c0-40c4-99e3-493ba0168241</t>
  </si>
  <si>
    <t>Miramar; Parque Aeroporto; Ajuda de Cima</t>
  </si>
  <si>
    <t>707fa2a9-086c-4b44-8559-616ef0d66277</t>
  </si>
  <si>
    <t>Cancela Preta; Parque Aeroporto; Novo Cavaleiros</t>
  </si>
  <si>
    <t>9c8b2e63-261b-439b-9183-833e83136492</t>
  </si>
  <si>
    <t>Vale Encantado; Cavaleiros</t>
  </si>
  <si>
    <t>7541872f-f144-4c58-a991-d2617276d2a2</t>
  </si>
  <si>
    <t>a0278421-461d-400b-b8fb-65806c958e6d</t>
  </si>
  <si>
    <t>Drenagem no bairro Jardim Vitória</t>
  </si>
  <si>
    <t>Ajuda de Baixo; Miramar</t>
  </si>
  <si>
    <t>88b65dbe-bce1-43df-995d-5af570fc54fb</t>
  </si>
  <si>
    <t>108/2008</t>
  </si>
  <si>
    <t>Costa do Sol; Barra de Macaé; Bairro da Glória</t>
  </si>
  <si>
    <t>70b69ea4-01b6-4bed-bd3a-d88a91476c98</t>
  </si>
  <si>
    <t>Lagoa; Virgem Santa; Jardim Santo Antônio</t>
  </si>
  <si>
    <t>d1f33bee-9d8e-4da6-9ec3-8eb3d4b55b70</t>
  </si>
  <si>
    <t>f9b1c99b-9e86-487d-8c1b-b11bd0e33a9d</t>
  </si>
  <si>
    <t>Imbetiba; São Marcos; Jardim Santo Antônio</t>
  </si>
  <si>
    <t>fd8b348d-8f7f-4acc-9bf0-ce5b498e0634</t>
  </si>
  <si>
    <t>Drenagem no bairro Virgem Santa</t>
  </si>
  <si>
    <t>Barra de Macaé; Jardim Vitória; Botafogo</t>
  </si>
  <si>
    <t>c0f6a07b-457d-4037-a91e-a35b235e957e</t>
  </si>
  <si>
    <t>Jardim Vitória; Praia do Pecado; Cabiúnas</t>
  </si>
  <si>
    <t>5852e26d-ccd1-4817-a386-f9e92c646ae8</t>
  </si>
  <si>
    <t>Costa do Sol; Ajuda de Cima; Parque União</t>
  </si>
  <si>
    <t>7f6b2ed7-09d8-4b10-91e4-734d6f8f43a5</t>
  </si>
  <si>
    <t>Praia do Pecado; São José do Barreto; Parque Atlântico</t>
  </si>
  <si>
    <t>2694dad8-94d6-48cb-8145-e157b5ec854e</t>
  </si>
  <si>
    <t>São Marcos; Cavaleiros; Campo D'Oeste</t>
  </si>
  <si>
    <t>4cf5d49c-b10e-438c-ad85-359234f804b7</t>
  </si>
  <si>
    <t>15342f4a-51f9-460f-a281-3c442b9f4112</t>
  </si>
  <si>
    <t>Nova Holanda; Parque Atlântico</t>
  </si>
  <si>
    <t>2c2d7c65-9e56-4d63-a82c-0edb9ca2a486</t>
  </si>
  <si>
    <t>Costa do Sol; Mirante da Lagoa; Nova Holanda</t>
  </si>
  <si>
    <t>14f7fa4a-44dc-49b6-8f48-c67a005bfaf2</t>
  </si>
  <si>
    <t>Parque União; Lagomar</t>
  </si>
  <si>
    <t>8e0d437b-5384-4fdb-9993-5bcf46ad0e84</t>
  </si>
  <si>
    <t>Granja dos Cavaleiros; Engenho da Praia</t>
  </si>
  <si>
    <t>17117c7f-5f52-424f-b4d0-a37393122792</t>
  </si>
  <si>
    <t>Coleta de Resíduos no bairro Malvinas</t>
  </si>
  <si>
    <t>030 2023SEMINF</t>
  </si>
  <si>
    <t>60ee5324-0b56-4e52-a235-661fd7fb9e32</t>
  </si>
  <si>
    <t>026-2015-FMS</t>
  </si>
  <si>
    <t>Lagoa; Horto</t>
  </si>
  <si>
    <t>d788775e-fe68-43e5-b6f9-a38f0e28dce6</t>
  </si>
  <si>
    <t>Manutenção de Vias no bairro São Marcos</t>
  </si>
  <si>
    <t>026 2023SEMINF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</si>
</sst>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0"/>
    <col customWidth="1" min="2" max="2" width="14.0"/>
    <col customWidth="1" min="3" max="3" width="45.0"/>
    <col customWidth="1" min="4" max="4" width="18.0"/>
    <col customWidth="1" min="5" max="5" width="24.0"/>
    <col customWidth="1" min="6" max="6" width="21.0"/>
    <col customWidth="1" min="7" max="7" width="45.0"/>
    <col customWidth="1" min="8" max="8" width="26.0"/>
    <col customWidth="1" min="9" max="9" width="21.0"/>
    <col customWidth="1" min="10" max="10" width="45.0"/>
    <col customWidth="1" min="11" max="12" width="13.0"/>
    <col customWidth="1" min="13" max="13" width="12.0"/>
    <col customWidth="1" min="14" max="14" width="17.0"/>
    <col customWidth="1" min="15" max="15" width="8.71"/>
    <col customWidth="1" min="16" max="17" width="15.29"/>
    <col customWidth="1" min="18" max="18" width="14.29"/>
    <col customWidth="1" min="19" max="26" width="8.71"/>
  </cols>
  <sheetData>
    <row r="1" ht="27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14</v>
      </c>
      <c r="Q1" s="3" t="s">
        <v>15</v>
      </c>
    </row>
    <row r="2">
      <c r="A2" s="1" t="s">
        <v>16</v>
      </c>
      <c r="B2" s="2">
        <v>45988.0</v>
      </c>
      <c r="C2" s="1" t="s">
        <v>17</v>
      </c>
      <c r="D2" s="1" t="s">
        <v>18</v>
      </c>
      <c r="E2" s="1" t="s">
        <v>19</v>
      </c>
      <c r="F2" s="1">
        <v>1136.0</v>
      </c>
      <c r="G2" s="1" t="s">
        <v>20</v>
      </c>
      <c r="H2" s="1">
        <v>9098.0</v>
      </c>
      <c r="I2" s="1" t="s">
        <v>21</v>
      </c>
      <c r="J2" s="1" t="s">
        <v>22</v>
      </c>
      <c r="K2" s="1">
        <v>-22.440673</v>
      </c>
      <c r="L2" s="1">
        <v>-41.756258</v>
      </c>
      <c r="M2" s="1">
        <v>1.0</v>
      </c>
      <c r="P2" s="4">
        <f t="array" ref="P2"> COUNTIF(I:I,"NÃO")/COUNTA(UNIQUE(D:D))/100</f>
        <v>0.008532110092</v>
      </c>
      <c r="Q2" s="3">
        <v>0.0</v>
      </c>
      <c r="R2" s="1">
        <f>(SUM(Q:Q))/719</f>
        <v>3561.719054</v>
      </c>
    </row>
    <row r="3">
      <c r="A3" s="1" t="s">
        <v>23</v>
      </c>
      <c r="B3" s="2">
        <v>46049.0</v>
      </c>
      <c r="C3" s="1" t="s">
        <v>24</v>
      </c>
      <c r="D3" s="1" t="s">
        <v>25</v>
      </c>
      <c r="E3" s="1" t="s">
        <v>26</v>
      </c>
      <c r="F3" s="1">
        <v>13257.0</v>
      </c>
      <c r="G3" s="1" t="s">
        <v>27</v>
      </c>
      <c r="H3" s="1">
        <v>19427.0</v>
      </c>
      <c r="I3" s="1" t="s">
        <v>21</v>
      </c>
      <c r="J3" s="1" t="s">
        <v>28</v>
      </c>
      <c r="K3" s="1">
        <v>-22.351659</v>
      </c>
      <c r="L3" s="1">
        <v>-41.736554</v>
      </c>
      <c r="M3" s="1">
        <v>0.0</v>
      </c>
      <c r="Q3" s="1">
        <f t="shared" ref="Q3:Q720" si="1">SUMIF(I3,"NÃO",H3)</f>
        <v>0</v>
      </c>
    </row>
    <row r="4">
      <c r="A4" s="1" t="s">
        <v>29</v>
      </c>
      <c r="B4" s="2">
        <v>45962.0</v>
      </c>
      <c r="C4" s="1" t="s">
        <v>30</v>
      </c>
      <c r="D4" s="1" t="s">
        <v>31</v>
      </c>
      <c r="E4" s="1" t="s">
        <v>32</v>
      </c>
      <c r="F4" s="1">
        <v>1059.0</v>
      </c>
      <c r="G4" s="1" t="s">
        <v>33</v>
      </c>
      <c r="H4" s="1">
        <v>1880.0</v>
      </c>
      <c r="I4" s="1" t="s">
        <v>21</v>
      </c>
      <c r="J4" s="1" t="s">
        <v>34</v>
      </c>
      <c r="K4" s="1">
        <v>-22.377369</v>
      </c>
      <c r="L4" s="1">
        <v>-41.71929</v>
      </c>
      <c r="M4" s="1">
        <v>1.0</v>
      </c>
      <c r="Q4" s="1">
        <f t="shared" si="1"/>
        <v>0</v>
      </c>
    </row>
    <row r="5">
      <c r="A5" s="1" t="s">
        <v>35</v>
      </c>
      <c r="B5" s="2">
        <v>45742.0</v>
      </c>
      <c r="C5" s="1" t="s">
        <v>36</v>
      </c>
      <c r="D5" s="1" t="s">
        <v>37</v>
      </c>
      <c r="E5" s="1" t="s">
        <v>38</v>
      </c>
      <c r="F5" s="1">
        <v>2975.0</v>
      </c>
      <c r="G5" s="1" t="s">
        <v>39</v>
      </c>
      <c r="H5" s="1">
        <v>12605.0</v>
      </c>
      <c r="I5" s="1" t="s">
        <v>21</v>
      </c>
      <c r="J5" s="1" t="s">
        <v>40</v>
      </c>
      <c r="K5" s="1">
        <v>-22.386161</v>
      </c>
      <c r="L5" s="1">
        <v>-41.742065</v>
      </c>
      <c r="M5" s="1">
        <v>1.0</v>
      </c>
      <c r="Q5" s="1">
        <f t="shared" si="1"/>
        <v>0</v>
      </c>
    </row>
    <row r="6">
      <c r="A6" s="1" t="s">
        <v>41</v>
      </c>
      <c r="B6" s="2">
        <v>45783.0</v>
      </c>
      <c r="C6" s="1" t="s">
        <v>42</v>
      </c>
      <c r="D6" s="1" t="s">
        <v>43</v>
      </c>
      <c r="E6" s="1" t="s">
        <v>44</v>
      </c>
      <c r="F6" s="1">
        <v>5506.0</v>
      </c>
      <c r="G6" s="1" t="s">
        <v>45</v>
      </c>
      <c r="H6" s="1">
        <v>8668.0</v>
      </c>
      <c r="I6" s="1" t="s">
        <v>21</v>
      </c>
      <c r="J6" s="1" t="s">
        <v>28</v>
      </c>
      <c r="K6" s="1">
        <v>-22.421754</v>
      </c>
      <c r="L6" s="1">
        <v>-41.71054</v>
      </c>
      <c r="M6" s="1">
        <v>0.0</v>
      </c>
      <c r="Q6" s="1">
        <f t="shared" si="1"/>
        <v>0</v>
      </c>
    </row>
    <row r="7">
      <c r="A7" s="1" t="s">
        <v>46</v>
      </c>
      <c r="B7" s="2">
        <v>46028.0</v>
      </c>
      <c r="C7" s="1" t="s">
        <v>47</v>
      </c>
      <c r="D7" s="1" t="s">
        <v>48</v>
      </c>
      <c r="E7" s="1" t="s">
        <v>49</v>
      </c>
      <c r="F7" s="1">
        <v>8020.0</v>
      </c>
      <c r="G7" s="1" t="s">
        <v>50</v>
      </c>
      <c r="H7" s="1">
        <v>9608.0</v>
      </c>
      <c r="I7" s="1" t="s">
        <v>21</v>
      </c>
      <c r="J7" s="1" t="s">
        <v>51</v>
      </c>
      <c r="K7" s="1">
        <v>-22.439933</v>
      </c>
      <c r="L7" s="1">
        <v>-41.720456</v>
      </c>
      <c r="M7" s="1">
        <v>1.0</v>
      </c>
      <c r="Q7" s="1">
        <f t="shared" si="1"/>
        <v>0</v>
      </c>
    </row>
    <row r="8">
      <c r="A8" s="1" t="s">
        <v>52</v>
      </c>
      <c r="B8" s="2">
        <v>45736.0</v>
      </c>
      <c r="C8" s="1" t="s">
        <v>53</v>
      </c>
      <c r="D8" s="1" t="s">
        <v>54</v>
      </c>
      <c r="E8" s="1" t="s">
        <v>55</v>
      </c>
      <c r="F8" s="1">
        <v>2409.0</v>
      </c>
      <c r="G8" s="1" t="s">
        <v>50</v>
      </c>
      <c r="H8" s="1">
        <v>3997.0</v>
      </c>
      <c r="I8" s="1" t="s">
        <v>21</v>
      </c>
      <c r="J8" s="1" t="s">
        <v>51</v>
      </c>
      <c r="K8" s="1">
        <v>-22.412475</v>
      </c>
      <c r="L8" s="1">
        <v>-41.768642</v>
      </c>
      <c r="M8" s="1">
        <v>1.0</v>
      </c>
      <c r="Q8" s="1">
        <f t="shared" si="1"/>
        <v>0</v>
      </c>
    </row>
    <row r="9">
      <c r="A9" s="1" t="s">
        <v>56</v>
      </c>
      <c r="B9" s="2">
        <v>45963.0</v>
      </c>
      <c r="C9" s="1" t="s">
        <v>57</v>
      </c>
      <c r="D9" s="1" t="s">
        <v>58</v>
      </c>
      <c r="E9" s="1" t="s">
        <v>59</v>
      </c>
      <c r="F9" s="1">
        <v>1790.0</v>
      </c>
      <c r="G9" s="1" t="s">
        <v>60</v>
      </c>
      <c r="H9" s="1">
        <v>4246.0</v>
      </c>
      <c r="I9" s="1" t="s">
        <v>21</v>
      </c>
      <c r="J9" s="1" t="s">
        <v>28</v>
      </c>
      <c r="K9" s="1">
        <v>-22.384033</v>
      </c>
      <c r="L9" s="1">
        <v>-41.736879</v>
      </c>
      <c r="M9" s="1">
        <v>0.0</v>
      </c>
      <c r="Q9" s="1">
        <f t="shared" si="1"/>
        <v>0</v>
      </c>
    </row>
    <row r="10">
      <c r="A10" s="1" t="s">
        <v>61</v>
      </c>
      <c r="B10" s="2">
        <v>46013.0</v>
      </c>
      <c r="C10" s="1" t="s">
        <v>62</v>
      </c>
      <c r="D10" s="1" t="s">
        <v>63</v>
      </c>
      <c r="E10" s="1" t="s">
        <v>64</v>
      </c>
      <c r="F10" s="1">
        <v>1136.0</v>
      </c>
      <c r="G10" s="1" t="s">
        <v>65</v>
      </c>
      <c r="H10" s="1">
        <v>4976.0</v>
      </c>
      <c r="I10" s="1" t="s">
        <v>21</v>
      </c>
      <c r="J10" s="1" t="s">
        <v>40</v>
      </c>
      <c r="K10" s="1">
        <v>-22.434161</v>
      </c>
      <c r="L10" s="1">
        <v>-41.72583</v>
      </c>
      <c r="M10" s="1">
        <v>3.0</v>
      </c>
      <c r="Q10" s="1">
        <f t="shared" si="1"/>
        <v>0</v>
      </c>
    </row>
    <row r="11">
      <c r="A11" s="1" t="s">
        <v>66</v>
      </c>
      <c r="B11" s="2">
        <v>45688.0</v>
      </c>
      <c r="C11" s="1" t="s">
        <v>67</v>
      </c>
      <c r="D11" s="1" t="s">
        <v>68</v>
      </c>
      <c r="E11" s="1" t="s">
        <v>69</v>
      </c>
      <c r="F11" s="1">
        <v>4825.0</v>
      </c>
      <c r="G11" s="1" t="s">
        <v>70</v>
      </c>
      <c r="H11" s="1">
        <v>8665.0</v>
      </c>
      <c r="I11" s="1" t="s">
        <v>21</v>
      </c>
      <c r="J11" s="1" t="s">
        <v>40</v>
      </c>
      <c r="K11" s="1">
        <v>-22.398201</v>
      </c>
      <c r="L11" s="1">
        <v>-41.723904</v>
      </c>
      <c r="M11" s="1">
        <v>4.0</v>
      </c>
      <c r="Q11" s="1">
        <f t="shared" si="1"/>
        <v>0</v>
      </c>
    </row>
    <row r="12">
      <c r="A12" s="1" t="s">
        <v>71</v>
      </c>
      <c r="B12" s="2">
        <v>45688.0</v>
      </c>
      <c r="C12" s="1" t="s">
        <v>72</v>
      </c>
      <c r="D12" s="1" t="s">
        <v>73</v>
      </c>
      <c r="E12" s="1" t="s">
        <v>69</v>
      </c>
      <c r="F12" s="1">
        <v>4825.0</v>
      </c>
      <c r="G12" s="1" t="s">
        <v>74</v>
      </c>
      <c r="H12" s="1">
        <v>8925.0</v>
      </c>
      <c r="I12" s="1" t="s">
        <v>21</v>
      </c>
      <c r="J12" s="1" t="s">
        <v>28</v>
      </c>
      <c r="K12" s="1">
        <v>-22.428024</v>
      </c>
      <c r="L12" s="1">
        <v>-41.727226</v>
      </c>
      <c r="M12" s="1">
        <v>2.0</v>
      </c>
      <c r="Q12" s="1">
        <f t="shared" si="1"/>
        <v>0</v>
      </c>
    </row>
    <row r="13">
      <c r="A13" s="1" t="s">
        <v>75</v>
      </c>
      <c r="B13" s="2">
        <v>45862.0</v>
      </c>
      <c r="C13" s="1" t="s">
        <v>76</v>
      </c>
      <c r="D13" s="1" t="s">
        <v>77</v>
      </c>
      <c r="E13" s="1" t="s">
        <v>78</v>
      </c>
      <c r="F13" s="1">
        <v>195.0</v>
      </c>
      <c r="G13" s="1" t="s">
        <v>79</v>
      </c>
      <c r="H13" s="1">
        <v>3552.0</v>
      </c>
      <c r="I13" s="1" t="s">
        <v>21</v>
      </c>
      <c r="J13" s="1" t="s">
        <v>80</v>
      </c>
      <c r="K13" s="1">
        <v>-22.379192</v>
      </c>
      <c r="L13" s="1">
        <v>-41.734808</v>
      </c>
      <c r="M13" s="1">
        <v>0.0</v>
      </c>
      <c r="Q13" s="1">
        <f t="shared" si="1"/>
        <v>0</v>
      </c>
    </row>
    <row r="14">
      <c r="A14" s="1" t="s">
        <v>81</v>
      </c>
      <c r="B14" s="2">
        <v>46067.0</v>
      </c>
      <c r="C14" s="1" t="s">
        <v>82</v>
      </c>
      <c r="D14" s="1" t="s">
        <v>83</v>
      </c>
      <c r="E14" s="1" t="s">
        <v>84</v>
      </c>
      <c r="F14" s="1">
        <v>9435.0</v>
      </c>
      <c r="G14" s="1" t="s">
        <v>85</v>
      </c>
      <c r="H14" s="1">
        <v>15594.0</v>
      </c>
      <c r="I14" s="1" t="s">
        <v>21</v>
      </c>
      <c r="J14" s="1" t="s">
        <v>86</v>
      </c>
      <c r="K14" s="1">
        <v>-22.432704</v>
      </c>
      <c r="L14" s="1">
        <v>-41.731294</v>
      </c>
      <c r="M14" s="1">
        <v>1.0</v>
      </c>
      <c r="Q14" s="1">
        <f t="shared" si="1"/>
        <v>0</v>
      </c>
    </row>
    <row r="15">
      <c r="A15" s="1" t="s">
        <v>87</v>
      </c>
      <c r="B15" s="2">
        <v>45977.0</v>
      </c>
      <c r="C15" s="1" t="s">
        <v>88</v>
      </c>
      <c r="D15" s="1" t="s">
        <v>89</v>
      </c>
      <c r="E15" s="1" t="s">
        <v>90</v>
      </c>
      <c r="F15" s="1">
        <v>9435.0</v>
      </c>
      <c r="G15" s="1" t="s">
        <v>91</v>
      </c>
      <c r="H15" s="1">
        <v>13535.0</v>
      </c>
      <c r="I15" s="1" t="s">
        <v>21</v>
      </c>
      <c r="J15" s="1" t="s">
        <v>34</v>
      </c>
      <c r="K15" s="1">
        <v>-22.354624</v>
      </c>
      <c r="L15" s="1">
        <v>-41.751217</v>
      </c>
      <c r="M15" s="1">
        <v>1.0</v>
      </c>
      <c r="Q15" s="1">
        <f t="shared" si="1"/>
        <v>0</v>
      </c>
    </row>
    <row r="16">
      <c r="A16" s="1" t="s">
        <v>92</v>
      </c>
      <c r="B16" s="2">
        <v>45984.0</v>
      </c>
      <c r="C16" s="1" t="s">
        <v>93</v>
      </c>
      <c r="D16" s="1" t="s">
        <v>94</v>
      </c>
      <c r="E16" s="1" t="s">
        <v>95</v>
      </c>
      <c r="F16" s="1">
        <v>1588.0</v>
      </c>
      <c r="G16" s="1" t="s">
        <v>96</v>
      </c>
      <c r="H16" s="1">
        <v>5623.0</v>
      </c>
      <c r="I16" s="1" t="s">
        <v>21</v>
      </c>
      <c r="J16" s="1" t="s">
        <v>22</v>
      </c>
      <c r="K16" s="1">
        <v>-22.38927</v>
      </c>
      <c r="L16" s="1">
        <v>-41.757069</v>
      </c>
      <c r="M16" s="1">
        <v>4.0</v>
      </c>
      <c r="Q16" s="1">
        <f t="shared" si="1"/>
        <v>0</v>
      </c>
    </row>
    <row r="17">
      <c r="A17" s="1" t="s">
        <v>97</v>
      </c>
      <c r="B17" s="2">
        <v>45723.0</v>
      </c>
      <c r="C17" s="1" t="s">
        <v>98</v>
      </c>
      <c r="D17" s="1" t="s">
        <v>99</v>
      </c>
      <c r="E17" s="1" t="s">
        <v>69</v>
      </c>
      <c r="F17" s="1">
        <v>4825.0</v>
      </c>
      <c r="G17" s="1" t="s">
        <v>100</v>
      </c>
      <c r="H17" s="1">
        <v>10608.0</v>
      </c>
      <c r="I17" s="1" t="s">
        <v>21</v>
      </c>
      <c r="J17" s="1" t="s">
        <v>28</v>
      </c>
      <c r="K17" s="1">
        <v>-22.361055</v>
      </c>
      <c r="L17" s="1">
        <v>-41.70419</v>
      </c>
      <c r="M17" s="1">
        <v>3.0</v>
      </c>
      <c r="Q17" s="1">
        <f t="shared" si="1"/>
        <v>0</v>
      </c>
    </row>
    <row r="18">
      <c r="A18" s="1" t="s">
        <v>101</v>
      </c>
      <c r="B18" s="2">
        <v>46018.0</v>
      </c>
      <c r="C18" s="1" t="s">
        <v>102</v>
      </c>
      <c r="D18" s="1" t="s">
        <v>103</v>
      </c>
      <c r="E18" s="1" t="s">
        <v>104</v>
      </c>
      <c r="F18" s="1">
        <v>1136.0</v>
      </c>
      <c r="G18" s="1" t="s">
        <v>105</v>
      </c>
      <c r="H18" s="1">
        <v>31490.0</v>
      </c>
      <c r="I18" s="1" t="s">
        <v>21</v>
      </c>
      <c r="J18" s="1" t="s">
        <v>40</v>
      </c>
      <c r="K18" s="1">
        <v>-22.438535</v>
      </c>
      <c r="L18" s="1">
        <v>-41.719096</v>
      </c>
      <c r="M18" s="1">
        <v>3.0</v>
      </c>
      <c r="Q18" s="1">
        <f t="shared" si="1"/>
        <v>0</v>
      </c>
    </row>
    <row r="19">
      <c r="A19" s="1" t="s">
        <v>106</v>
      </c>
      <c r="B19" s="2">
        <v>45909.0</v>
      </c>
      <c r="C19" s="1" t="s">
        <v>107</v>
      </c>
      <c r="D19" s="1" t="s">
        <v>108</v>
      </c>
      <c r="E19" s="1" t="s">
        <v>38</v>
      </c>
      <c r="F19" s="1">
        <v>2975.0</v>
      </c>
      <c r="G19" s="1" t="s">
        <v>64</v>
      </c>
      <c r="H19" s="1">
        <v>4111.0</v>
      </c>
      <c r="I19" s="1" t="s">
        <v>21</v>
      </c>
      <c r="J19" s="1" t="s">
        <v>34</v>
      </c>
      <c r="K19" s="1">
        <v>-22.384305</v>
      </c>
      <c r="L19" s="1">
        <v>-41.762804</v>
      </c>
      <c r="M19" s="1">
        <v>0.0</v>
      </c>
      <c r="Q19" s="1">
        <f t="shared" si="1"/>
        <v>0</v>
      </c>
    </row>
    <row r="20">
      <c r="A20" s="1" t="s">
        <v>109</v>
      </c>
      <c r="B20" s="2">
        <v>45984.0</v>
      </c>
      <c r="C20" s="1" t="s">
        <v>110</v>
      </c>
      <c r="D20" s="1" t="s">
        <v>111</v>
      </c>
      <c r="E20" s="1" t="s">
        <v>26</v>
      </c>
      <c r="F20" s="1">
        <v>13257.0</v>
      </c>
      <c r="G20" s="1" t="s">
        <v>104</v>
      </c>
      <c r="H20" s="1">
        <v>14393.0</v>
      </c>
      <c r="I20" s="1" t="s">
        <v>21</v>
      </c>
      <c r="J20" s="1" t="s">
        <v>80</v>
      </c>
      <c r="K20" s="1">
        <v>-22.428623</v>
      </c>
      <c r="L20" s="1">
        <v>-41.743253</v>
      </c>
      <c r="M20" s="1">
        <v>0.0</v>
      </c>
      <c r="Q20" s="1">
        <f t="shared" si="1"/>
        <v>0</v>
      </c>
    </row>
    <row r="21" ht="15.75" customHeight="1">
      <c r="A21" s="1" t="s">
        <v>112</v>
      </c>
      <c r="B21" s="2">
        <v>45725.0</v>
      </c>
      <c r="C21" s="1" t="s">
        <v>113</v>
      </c>
      <c r="D21" s="1" t="s">
        <v>114</v>
      </c>
      <c r="E21" s="1" t="s">
        <v>69</v>
      </c>
      <c r="F21" s="1">
        <v>4825.0</v>
      </c>
      <c r="G21" s="1" t="s">
        <v>115</v>
      </c>
      <c r="H21" s="1">
        <v>10331.0</v>
      </c>
      <c r="I21" s="1" t="s">
        <v>21</v>
      </c>
      <c r="J21" s="1" t="s">
        <v>86</v>
      </c>
      <c r="K21" s="1">
        <v>-22.38982</v>
      </c>
      <c r="L21" s="1">
        <v>-41.747274</v>
      </c>
      <c r="M21" s="1">
        <v>3.0</v>
      </c>
      <c r="Q21" s="1">
        <f t="shared" si="1"/>
        <v>0</v>
      </c>
    </row>
    <row r="22" ht="15.75" customHeight="1">
      <c r="A22" s="1" t="s">
        <v>116</v>
      </c>
      <c r="B22" s="2">
        <v>46089.0</v>
      </c>
      <c r="C22" s="1" t="s">
        <v>113</v>
      </c>
      <c r="D22" s="1" t="s">
        <v>114</v>
      </c>
      <c r="E22" s="1" t="s">
        <v>69</v>
      </c>
      <c r="F22" s="1">
        <v>4825.0</v>
      </c>
      <c r="G22" s="1" t="s">
        <v>117</v>
      </c>
      <c r="H22" s="1">
        <v>19191.0</v>
      </c>
      <c r="I22" s="1" t="s">
        <v>21</v>
      </c>
      <c r="J22" s="1" t="s">
        <v>80</v>
      </c>
      <c r="K22" s="1">
        <v>-22.368661</v>
      </c>
      <c r="L22" s="1">
        <v>-41.780185</v>
      </c>
      <c r="M22" s="1">
        <v>3.0</v>
      </c>
      <c r="Q22" s="1">
        <f t="shared" si="1"/>
        <v>0</v>
      </c>
    </row>
    <row r="23" ht="15.75" customHeight="1">
      <c r="A23" s="1" t="s">
        <v>118</v>
      </c>
      <c r="B23" s="2">
        <v>45939.0</v>
      </c>
      <c r="C23" s="1" t="s">
        <v>119</v>
      </c>
      <c r="D23" s="1" t="s">
        <v>120</v>
      </c>
      <c r="E23" s="1" t="s">
        <v>121</v>
      </c>
      <c r="F23" s="1">
        <v>7364.0</v>
      </c>
      <c r="G23" s="1" t="s">
        <v>122</v>
      </c>
      <c r="H23" s="1">
        <v>10088.0</v>
      </c>
      <c r="I23" s="1" t="s">
        <v>21</v>
      </c>
      <c r="J23" s="1" t="s">
        <v>22</v>
      </c>
      <c r="K23" s="1">
        <v>-22.437591</v>
      </c>
      <c r="L23" s="1">
        <v>-41.782886</v>
      </c>
      <c r="M23" s="1">
        <v>3.0</v>
      </c>
      <c r="Q23" s="1">
        <f t="shared" si="1"/>
        <v>0</v>
      </c>
    </row>
    <row r="24" ht="15.75" customHeight="1">
      <c r="A24" s="1" t="s">
        <v>123</v>
      </c>
      <c r="B24" s="2">
        <v>45679.0</v>
      </c>
      <c r="C24" s="1" t="s">
        <v>119</v>
      </c>
      <c r="D24" s="1" t="s">
        <v>120</v>
      </c>
      <c r="E24" s="1" t="s">
        <v>121</v>
      </c>
      <c r="F24" s="1">
        <v>7364.0</v>
      </c>
      <c r="G24" s="1" t="s">
        <v>124</v>
      </c>
      <c r="H24" s="1">
        <v>12699.0</v>
      </c>
      <c r="I24" s="1" t="s">
        <v>21</v>
      </c>
      <c r="J24" s="1" t="s">
        <v>40</v>
      </c>
      <c r="K24" s="1">
        <v>-22.385633</v>
      </c>
      <c r="L24" s="1">
        <v>-41.71439</v>
      </c>
      <c r="M24" s="1">
        <v>2.0</v>
      </c>
      <c r="Q24" s="1">
        <f t="shared" si="1"/>
        <v>0</v>
      </c>
    </row>
    <row r="25" ht="15.75" customHeight="1">
      <c r="A25" s="1" t="s">
        <v>125</v>
      </c>
      <c r="B25" s="2">
        <v>46070.0</v>
      </c>
      <c r="C25" s="1" t="s">
        <v>119</v>
      </c>
      <c r="D25" s="1" t="s">
        <v>120</v>
      </c>
      <c r="E25" s="1" t="s">
        <v>121</v>
      </c>
      <c r="F25" s="1">
        <v>7364.0</v>
      </c>
      <c r="G25" s="1" t="s">
        <v>126</v>
      </c>
      <c r="H25" s="1">
        <v>22680.0</v>
      </c>
      <c r="I25" s="1" t="s">
        <v>21</v>
      </c>
      <c r="J25" s="1" t="s">
        <v>40</v>
      </c>
      <c r="K25" s="1">
        <v>-22.416261</v>
      </c>
      <c r="L25" s="1">
        <v>-41.798373</v>
      </c>
      <c r="M25" s="1">
        <v>0.0</v>
      </c>
      <c r="Q25" s="1">
        <f t="shared" si="1"/>
        <v>0</v>
      </c>
    </row>
    <row r="26" ht="15.75" customHeight="1">
      <c r="A26" s="1" t="s">
        <v>127</v>
      </c>
      <c r="B26" s="2">
        <v>45966.0</v>
      </c>
      <c r="C26" s="1" t="s">
        <v>128</v>
      </c>
      <c r="D26" s="1" t="s">
        <v>129</v>
      </c>
      <c r="E26" s="1" t="s">
        <v>69</v>
      </c>
      <c r="F26" s="1">
        <v>4825.0</v>
      </c>
      <c r="G26" s="1" t="s">
        <v>130</v>
      </c>
      <c r="H26" s="1">
        <v>18082.0</v>
      </c>
      <c r="I26" s="1" t="s">
        <v>21</v>
      </c>
      <c r="J26" s="1" t="s">
        <v>80</v>
      </c>
      <c r="K26" s="1">
        <v>-22.374631</v>
      </c>
      <c r="L26" s="1">
        <v>-41.759966</v>
      </c>
      <c r="M26" s="1">
        <v>2.0</v>
      </c>
      <c r="Q26" s="1">
        <f t="shared" si="1"/>
        <v>0</v>
      </c>
    </row>
    <row r="27" ht="15.75" customHeight="1">
      <c r="A27" s="1" t="s">
        <v>131</v>
      </c>
      <c r="B27" s="2">
        <v>45706.0</v>
      </c>
      <c r="C27" s="1" t="s">
        <v>113</v>
      </c>
      <c r="D27" s="1" t="s">
        <v>129</v>
      </c>
      <c r="E27" s="1" t="s">
        <v>69</v>
      </c>
      <c r="F27" s="1">
        <v>4825.0</v>
      </c>
      <c r="G27" s="1" t="s">
        <v>132</v>
      </c>
      <c r="H27" s="1">
        <v>9388.0</v>
      </c>
      <c r="I27" s="1" t="s">
        <v>21</v>
      </c>
      <c r="J27" s="1" t="s">
        <v>86</v>
      </c>
      <c r="K27" s="1">
        <v>-22.380354</v>
      </c>
      <c r="L27" s="1">
        <v>-41.754542</v>
      </c>
      <c r="M27" s="1">
        <v>3.0</v>
      </c>
      <c r="Q27" s="1">
        <f t="shared" si="1"/>
        <v>0</v>
      </c>
    </row>
    <row r="28" ht="15.75" customHeight="1">
      <c r="A28" s="1" t="s">
        <v>133</v>
      </c>
      <c r="B28" s="2">
        <v>45763.0</v>
      </c>
      <c r="C28" s="1" t="s">
        <v>134</v>
      </c>
      <c r="D28" s="1" t="s">
        <v>135</v>
      </c>
      <c r="E28" s="1" t="s">
        <v>130</v>
      </c>
      <c r="F28" s="1">
        <v>13257.0</v>
      </c>
      <c r="G28" s="1" t="s">
        <v>136</v>
      </c>
      <c r="H28" s="1">
        <v>14845.0</v>
      </c>
      <c r="I28" s="1" t="s">
        <v>21</v>
      </c>
      <c r="J28" s="1" t="s">
        <v>34</v>
      </c>
      <c r="K28" s="1">
        <v>-22.445217</v>
      </c>
      <c r="L28" s="1">
        <v>-41.79896</v>
      </c>
      <c r="M28" s="1">
        <v>0.0</v>
      </c>
      <c r="Q28" s="1">
        <f t="shared" si="1"/>
        <v>0</v>
      </c>
    </row>
    <row r="29" ht="15.75" customHeight="1">
      <c r="A29" s="1" t="s">
        <v>137</v>
      </c>
      <c r="B29" s="2">
        <v>45832.0</v>
      </c>
      <c r="C29" s="1" t="s">
        <v>134</v>
      </c>
      <c r="D29" s="1" t="s">
        <v>135</v>
      </c>
      <c r="E29" s="1" t="s">
        <v>130</v>
      </c>
      <c r="F29" s="1">
        <v>13257.0</v>
      </c>
      <c r="G29" s="1" t="s">
        <v>138</v>
      </c>
      <c r="H29" s="1">
        <v>17357.0</v>
      </c>
      <c r="I29" s="1" t="s">
        <v>21</v>
      </c>
      <c r="J29" s="1" t="s">
        <v>34</v>
      </c>
      <c r="K29" s="1">
        <v>-22.377589</v>
      </c>
      <c r="L29" s="1">
        <v>-41.718772</v>
      </c>
      <c r="M29" s="1">
        <v>0.0</v>
      </c>
      <c r="Q29" s="1">
        <f t="shared" si="1"/>
        <v>0</v>
      </c>
    </row>
    <row r="30" ht="15.75" customHeight="1">
      <c r="A30" s="1" t="s">
        <v>139</v>
      </c>
      <c r="B30" s="2">
        <v>45923.0</v>
      </c>
      <c r="C30" s="1" t="s">
        <v>140</v>
      </c>
      <c r="D30" s="1" t="s">
        <v>135</v>
      </c>
      <c r="E30" s="1" t="s">
        <v>130</v>
      </c>
      <c r="F30" s="1">
        <v>13257.0</v>
      </c>
      <c r="G30" s="1" t="s">
        <v>90</v>
      </c>
      <c r="H30" s="1">
        <v>22692.0</v>
      </c>
      <c r="I30" s="1" t="s">
        <v>21</v>
      </c>
      <c r="J30" s="1" t="s">
        <v>22</v>
      </c>
      <c r="K30" s="1">
        <v>-22.4452</v>
      </c>
      <c r="L30" s="1">
        <v>-41.769571</v>
      </c>
      <c r="M30" s="1">
        <v>0.0</v>
      </c>
      <c r="Q30" s="1">
        <f t="shared" si="1"/>
        <v>0</v>
      </c>
    </row>
    <row r="31" ht="15.75" customHeight="1">
      <c r="A31" s="1" t="s">
        <v>141</v>
      </c>
      <c r="B31" s="2">
        <v>45934.0</v>
      </c>
      <c r="C31" s="1" t="s">
        <v>76</v>
      </c>
      <c r="D31" s="1" t="s">
        <v>142</v>
      </c>
      <c r="E31" s="1" t="s">
        <v>78</v>
      </c>
      <c r="F31" s="1">
        <v>195.0</v>
      </c>
      <c r="G31" s="1" t="s">
        <v>143</v>
      </c>
      <c r="H31" s="1">
        <v>6441.0</v>
      </c>
      <c r="I31" s="1" t="s">
        <v>21</v>
      </c>
      <c r="J31" s="1" t="s">
        <v>28</v>
      </c>
      <c r="K31" s="1">
        <v>-22.391655</v>
      </c>
      <c r="L31" s="1">
        <v>-41.78801</v>
      </c>
      <c r="M31" s="1">
        <v>1.0</v>
      </c>
      <c r="Q31" s="1">
        <f t="shared" si="1"/>
        <v>0</v>
      </c>
    </row>
    <row r="32" ht="15.75" customHeight="1">
      <c r="A32" s="1" t="s">
        <v>144</v>
      </c>
      <c r="B32" s="2">
        <v>46081.0</v>
      </c>
      <c r="C32" s="1" t="s">
        <v>98</v>
      </c>
      <c r="D32" s="1" t="s">
        <v>145</v>
      </c>
      <c r="E32" s="1" t="s">
        <v>69</v>
      </c>
      <c r="F32" s="1">
        <v>4825.0</v>
      </c>
      <c r="G32" s="1" t="s">
        <v>95</v>
      </c>
      <c r="H32" s="1">
        <v>6413.0</v>
      </c>
      <c r="I32" s="1" t="s">
        <v>21</v>
      </c>
      <c r="J32" s="1" t="s">
        <v>22</v>
      </c>
      <c r="K32" s="1">
        <v>-22.397824</v>
      </c>
      <c r="L32" s="1">
        <v>-41.775948</v>
      </c>
      <c r="M32" s="1">
        <v>3.0</v>
      </c>
      <c r="Q32" s="1">
        <f t="shared" si="1"/>
        <v>0</v>
      </c>
    </row>
    <row r="33" ht="15.75" customHeight="1">
      <c r="A33" s="1" t="s">
        <v>146</v>
      </c>
      <c r="B33" s="2">
        <v>46152.0</v>
      </c>
      <c r="C33" s="1" t="s">
        <v>147</v>
      </c>
      <c r="D33" s="1" t="s">
        <v>148</v>
      </c>
      <c r="E33" s="1" t="s">
        <v>33</v>
      </c>
      <c r="F33" s="1">
        <v>821.0</v>
      </c>
      <c r="G33" s="1" t="s">
        <v>149</v>
      </c>
      <c r="H33" s="1">
        <v>9411.0</v>
      </c>
      <c r="I33" s="1" t="s">
        <v>21</v>
      </c>
      <c r="J33" s="1" t="s">
        <v>22</v>
      </c>
      <c r="K33" s="1">
        <v>-22.423619</v>
      </c>
      <c r="L33" s="1">
        <v>-41.770377</v>
      </c>
      <c r="M33" s="1">
        <v>1.0</v>
      </c>
      <c r="Q33" s="1">
        <f t="shared" si="1"/>
        <v>0</v>
      </c>
    </row>
    <row r="34" ht="15.75" customHeight="1">
      <c r="A34" s="1" t="s">
        <v>150</v>
      </c>
      <c r="B34" s="2">
        <v>45868.0</v>
      </c>
      <c r="C34" s="1" t="s">
        <v>119</v>
      </c>
      <c r="D34" s="1" t="s">
        <v>151</v>
      </c>
      <c r="E34" s="1" t="s">
        <v>121</v>
      </c>
      <c r="F34" s="1">
        <v>7364.0</v>
      </c>
      <c r="G34" s="1" t="s">
        <v>152</v>
      </c>
      <c r="H34" s="1">
        <v>15279.0</v>
      </c>
      <c r="I34" s="1" t="s">
        <v>21</v>
      </c>
      <c r="J34" s="1" t="s">
        <v>22</v>
      </c>
      <c r="K34" s="1">
        <v>-22.352823</v>
      </c>
      <c r="L34" s="1">
        <v>-41.793973</v>
      </c>
      <c r="M34" s="1">
        <v>0.0</v>
      </c>
      <c r="Q34" s="1">
        <f t="shared" si="1"/>
        <v>0</v>
      </c>
    </row>
    <row r="35" ht="15.75" customHeight="1">
      <c r="A35" s="1" t="s">
        <v>153</v>
      </c>
      <c r="B35" s="2">
        <v>45850.0</v>
      </c>
      <c r="C35" s="1" t="s">
        <v>98</v>
      </c>
      <c r="D35" s="1" t="s">
        <v>154</v>
      </c>
      <c r="E35" s="1" t="s">
        <v>69</v>
      </c>
      <c r="F35" s="1">
        <v>4825.0</v>
      </c>
      <c r="G35" s="1" t="s">
        <v>155</v>
      </c>
      <c r="H35" s="1">
        <v>10711.0</v>
      </c>
      <c r="I35" s="1" t="s">
        <v>21</v>
      </c>
      <c r="J35" s="1" t="s">
        <v>22</v>
      </c>
      <c r="K35" s="1">
        <v>-22.415955</v>
      </c>
      <c r="L35" s="1">
        <v>-41.7186</v>
      </c>
      <c r="M35" s="1">
        <v>3.0</v>
      </c>
      <c r="Q35" s="1">
        <f t="shared" si="1"/>
        <v>0</v>
      </c>
    </row>
    <row r="36" ht="15.75" customHeight="1">
      <c r="A36" s="1" t="s">
        <v>156</v>
      </c>
      <c r="B36" s="2">
        <v>45815.0</v>
      </c>
      <c r="C36" s="1" t="s">
        <v>157</v>
      </c>
      <c r="D36" s="1" t="s">
        <v>158</v>
      </c>
      <c r="E36" s="1" t="s">
        <v>33</v>
      </c>
      <c r="F36" s="1">
        <v>821.0</v>
      </c>
      <c r="G36" s="1" t="s">
        <v>159</v>
      </c>
      <c r="H36" s="1">
        <v>15843.0</v>
      </c>
      <c r="I36" s="1" t="s">
        <v>21</v>
      </c>
      <c r="J36" s="1" t="s">
        <v>22</v>
      </c>
      <c r="K36" s="1">
        <v>-22.358587</v>
      </c>
      <c r="L36" s="1">
        <v>-41.778122</v>
      </c>
      <c r="M36" s="1">
        <v>4.0</v>
      </c>
      <c r="Q36" s="1">
        <f t="shared" si="1"/>
        <v>0</v>
      </c>
    </row>
    <row r="37" ht="15.75" customHeight="1">
      <c r="A37" s="1" t="s">
        <v>160</v>
      </c>
      <c r="B37" s="2">
        <v>45865.0</v>
      </c>
      <c r="C37" s="1" t="s">
        <v>161</v>
      </c>
      <c r="D37" s="1" t="s">
        <v>162</v>
      </c>
      <c r="E37" s="1" t="s">
        <v>163</v>
      </c>
      <c r="F37" s="1">
        <v>2059.0</v>
      </c>
      <c r="G37" s="1" t="s">
        <v>164</v>
      </c>
      <c r="H37" s="1">
        <v>5855.0</v>
      </c>
      <c r="I37" s="1" t="s">
        <v>21</v>
      </c>
      <c r="J37" s="1" t="s">
        <v>34</v>
      </c>
      <c r="K37" s="1">
        <v>-22.443136</v>
      </c>
      <c r="L37" s="1">
        <v>-41.757691</v>
      </c>
      <c r="M37" s="1">
        <v>3.0</v>
      </c>
      <c r="Q37" s="1">
        <f t="shared" si="1"/>
        <v>0</v>
      </c>
    </row>
    <row r="38" ht="15.75" customHeight="1">
      <c r="A38" s="1" t="s">
        <v>165</v>
      </c>
      <c r="B38" s="2">
        <v>46130.0</v>
      </c>
      <c r="C38" s="1" t="s">
        <v>161</v>
      </c>
      <c r="D38" s="1" t="s">
        <v>162</v>
      </c>
      <c r="E38" s="1" t="s">
        <v>163</v>
      </c>
      <c r="F38" s="1">
        <v>2059.0</v>
      </c>
      <c r="G38" s="1" t="s">
        <v>166</v>
      </c>
      <c r="H38" s="1">
        <v>8214.0</v>
      </c>
      <c r="I38" s="1" t="s">
        <v>21</v>
      </c>
      <c r="J38" s="1" t="s">
        <v>22</v>
      </c>
      <c r="K38" s="1">
        <v>-22.425944</v>
      </c>
      <c r="L38" s="1">
        <v>-41.71059</v>
      </c>
      <c r="M38" s="1">
        <v>0.0</v>
      </c>
      <c r="Q38" s="1">
        <f t="shared" si="1"/>
        <v>0</v>
      </c>
    </row>
    <row r="39" ht="15.75" customHeight="1">
      <c r="A39" s="1" t="s">
        <v>167</v>
      </c>
      <c r="B39" s="2">
        <v>46121.0</v>
      </c>
      <c r="C39" s="1" t="s">
        <v>161</v>
      </c>
      <c r="D39" s="1" t="s">
        <v>162</v>
      </c>
      <c r="E39" s="1" t="s">
        <v>163</v>
      </c>
      <c r="F39" s="1">
        <v>2059.0</v>
      </c>
      <c r="G39" s="1" t="s">
        <v>168</v>
      </c>
      <c r="H39" s="1">
        <v>3390.0</v>
      </c>
      <c r="I39" s="1" t="s">
        <v>21</v>
      </c>
      <c r="J39" s="1" t="s">
        <v>86</v>
      </c>
      <c r="K39" s="1">
        <v>-22.438167</v>
      </c>
      <c r="L39" s="1">
        <v>-41.74497</v>
      </c>
      <c r="M39" s="1">
        <v>2.0</v>
      </c>
      <c r="Q39" s="1">
        <f t="shared" si="1"/>
        <v>0</v>
      </c>
    </row>
    <row r="40" ht="15.75" customHeight="1">
      <c r="A40" s="1" t="s">
        <v>169</v>
      </c>
      <c r="B40" s="2">
        <v>46064.0</v>
      </c>
      <c r="C40" s="1" t="s">
        <v>42</v>
      </c>
      <c r="D40" s="1" t="s">
        <v>170</v>
      </c>
      <c r="E40" s="1" t="s">
        <v>44</v>
      </c>
      <c r="F40" s="1">
        <v>5506.0</v>
      </c>
      <c r="G40" s="1" t="s">
        <v>171</v>
      </c>
      <c r="H40" s="1">
        <v>9153.0</v>
      </c>
      <c r="I40" s="1" t="s">
        <v>21</v>
      </c>
      <c r="J40" s="1" t="s">
        <v>51</v>
      </c>
      <c r="K40" s="1">
        <v>-22.399207</v>
      </c>
      <c r="L40" s="1">
        <v>-41.794684</v>
      </c>
      <c r="M40" s="1">
        <v>4.0</v>
      </c>
      <c r="Q40" s="1">
        <f t="shared" si="1"/>
        <v>0</v>
      </c>
    </row>
    <row r="41" ht="15.75" customHeight="1">
      <c r="A41" s="1" t="s">
        <v>172</v>
      </c>
      <c r="B41" s="2">
        <v>46049.0</v>
      </c>
      <c r="C41" s="1" t="s">
        <v>42</v>
      </c>
      <c r="D41" s="1" t="s">
        <v>170</v>
      </c>
      <c r="E41" s="1" t="s">
        <v>44</v>
      </c>
      <c r="F41" s="1">
        <v>5506.0</v>
      </c>
      <c r="G41" s="1" t="s">
        <v>173</v>
      </c>
      <c r="H41" s="1">
        <v>15135.0</v>
      </c>
      <c r="I41" s="1" t="s">
        <v>21</v>
      </c>
      <c r="J41" s="1" t="s">
        <v>34</v>
      </c>
      <c r="K41" s="1">
        <v>-22.420599</v>
      </c>
      <c r="L41" s="1">
        <v>-41.759731</v>
      </c>
      <c r="M41" s="1">
        <v>3.0</v>
      </c>
      <c r="Q41" s="1">
        <f t="shared" si="1"/>
        <v>0</v>
      </c>
    </row>
    <row r="42" ht="15.75" customHeight="1">
      <c r="A42" s="1" t="s">
        <v>174</v>
      </c>
      <c r="B42" s="2">
        <v>46163.0</v>
      </c>
      <c r="C42" s="1" t="s">
        <v>175</v>
      </c>
      <c r="D42" s="1" t="s">
        <v>176</v>
      </c>
      <c r="E42" s="1" t="s">
        <v>177</v>
      </c>
      <c r="F42" s="1">
        <v>3271.0</v>
      </c>
      <c r="G42" s="1" t="s">
        <v>178</v>
      </c>
      <c r="H42" s="1">
        <v>7111.0</v>
      </c>
      <c r="I42" s="1" t="s">
        <v>21</v>
      </c>
      <c r="J42" s="1" t="s">
        <v>51</v>
      </c>
      <c r="K42" s="1">
        <v>-22.439082</v>
      </c>
      <c r="L42" s="1">
        <v>-41.795013</v>
      </c>
      <c r="M42" s="1">
        <v>4.0</v>
      </c>
      <c r="Q42" s="1">
        <f t="shared" si="1"/>
        <v>0</v>
      </c>
    </row>
    <row r="43" ht="15.75" customHeight="1">
      <c r="A43" s="1" t="s">
        <v>179</v>
      </c>
      <c r="B43" s="2">
        <v>45775.0</v>
      </c>
      <c r="C43" s="1" t="s">
        <v>180</v>
      </c>
      <c r="D43" s="1" t="s">
        <v>181</v>
      </c>
      <c r="E43" s="1" t="s">
        <v>44</v>
      </c>
      <c r="F43" s="1">
        <v>5506.0</v>
      </c>
      <c r="G43" s="1" t="s">
        <v>33</v>
      </c>
      <c r="H43" s="1">
        <v>6327.0</v>
      </c>
      <c r="I43" s="1" t="s">
        <v>21</v>
      </c>
      <c r="J43" s="1" t="s">
        <v>40</v>
      </c>
      <c r="K43" s="1">
        <v>-22.392477</v>
      </c>
      <c r="L43" s="1">
        <v>-41.776123</v>
      </c>
      <c r="M43" s="1">
        <v>0.0</v>
      </c>
      <c r="Q43" s="1">
        <f t="shared" si="1"/>
        <v>0</v>
      </c>
    </row>
    <row r="44" ht="15.75" customHeight="1">
      <c r="A44" s="1" t="s">
        <v>182</v>
      </c>
      <c r="B44" s="2">
        <v>45889.0</v>
      </c>
      <c r="C44" s="1" t="s">
        <v>183</v>
      </c>
      <c r="D44" s="1" t="s">
        <v>184</v>
      </c>
      <c r="E44" s="1" t="s">
        <v>33</v>
      </c>
      <c r="F44" s="1">
        <v>821.0</v>
      </c>
      <c r="G44" s="1" t="s">
        <v>185</v>
      </c>
      <c r="H44" s="1">
        <v>3983.0</v>
      </c>
      <c r="I44" s="1" t="s">
        <v>21</v>
      </c>
      <c r="J44" s="1" t="s">
        <v>51</v>
      </c>
      <c r="K44" s="1">
        <v>-22.410809</v>
      </c>
      <c r="L44" s="1">
        <v>-41.78987</v>
      </c>
      <c r="M44" s="1">
        <v>4.0</v>
      </c>
      <c r="Q44" s="1">
        <f t="shared" si="1"/>
        <v>0</v>
      </c>
    </row>
    <row r="45" ht="15.75" customHeight="1">
      <c r="A45" s="1" t="s">
        <v>186</v>
      </c>
      <c r="B45" s="2">
        <v>46013.0</v>
      </c>
      <c r="C45" s="1" t="s">
        <v>183</v>
      </c>
      <c r="D45" s="1" t="s">
        <v>184</v>
      </c>
      <c r="E45" s="1" t="s">
        <v>33</v>
      </c>
      <c r="F45" s="1">
        <v>821.0</v>
      </c>
      <c r="G45" s="1" t="s">
        <v>187</v>
      </c>
      <c r="H45" s="1">
        <v>11152.0</v>
      </c>
      <c r="I45" s="1" t="s">
        <v>21</v>
      </c>
      <c r="J45" s="1" t="s">
        <v>86</v>
      </c>
      <c r="K45" s="1">
        <v>-22.376612</v>
      </c>
      <c r="L45" s="1">
        <v>-41.790576</v>
      </c>
      <c r="M45" s="1">
        <v>2.0</v>
      </c>
      <c r="Q45" s="1">
        <f t="shared" si="1"/>
        <v>0</v>
      </c>
    </row>
    <row r="46" ht="15.75" customHeight="1">
      <c r="A46" s="1" t="s">
        <v>188</v>
      </c>
      <c r="B46" s="2">
        <v>45832.0</v>
      </c>
      <c r="C46" s="1" t="s">
        <v>180</v>
      </c>
      <c r="D46" s="1" t="s">
        <v>189</v>
      </c>
      <c r="E46" s="1" t="s">
        <v>44</v>
      </c>
      <c r="F46" s="1">
        <v>5506.0</v>
      </c>
      <c r="G46" s="1" t="s">
        <v>190</v>
      </c>
      <c r="H46" s="1">
        <v>16696.0</v>
      </c>
      <c r="I46" s="1" t="s">
        <v>21</v>
      </c>
      <c r="J46" s="1" t="s">
        <v>22</v>
      </c>
      <c r="K46" s="1">
        <v>-22.433335</v>
      </c>
      <c r="L46" s="1">
        <v>-41.766784</v>
      </c>
      <c r="M46" s="1">
        <v>2.0</v>
      </c>
      <c r="Q46" s="1">
        <f t="shared" si="1"/>
        <v>0</v>
      </c>
    </row>
    <row r="47" ht="15.75" customHeight="1">
      <c r="A47" s="1" t="s">
        <v>191</v>
      </c>
      <c r="B47" s="2">
        <v>46143.0</v>
      </c>
      <c r="C47" s="1" t="s">
        <v>161</v>
      </c>
      <c r="D47" s="1" t="s">
        <v>192</v>
      </c>
      <c r="E47" s="1" t="s">
        <v>163</v>
      </c>
      <c r="F47" s="1">
        <v>2059.0</v>
      </c>
      <c r="G47" s="1" t="s">
        <v>104</v>
      </c>
      <c r="H47" s="1">
        <v>3195.0</v>
      </c>
      <c r="I47" s="1" t="s">
        <v>21</v>
      </c>
      <c r="J47" s="1" t="s">
        <v>80</v>
      </c>
      <c r="K47" s="1">
        <v>-22.447917</v>
      </c>
      <c r="L47" s="1">
        <v>-41.702563</v>
      </c>
      <c r="M47" s="1">
        <v>3.0</v>
      </c>
      <c r="Q47" s="1">
        <f t="shared" si="1"/>
        <v>0</v>
      </c>
    </row>
    <row r="48" ht="15.75" customHeight="1">
      <c r="A48" s="1" t="s">
        <v>193</v>
      </c>
      <c r="B48" s="2">
        <v>46018.0</v>
      </c>
      <c r="C48" s="1" t="s">
        <v>161</v>
      </c>
      <c r="D48" s="1" t="s">
        <v>192</v>
      </c>
      <c r="E48" s="1" t="s">
        <v>163</v>
      </c>
      <c r="F48" s="1">
        <v>2059.0</v>
      </c>
      <c r="G48" s="1" t="s">
        <v>104</v>
      </c>
      <c r="H48" s="1">
        <v>3195.0</v>
      </c>
      <c r="I48" s="1" t="s">
        <v>21</v>
      </c>
      <c r="J48" s="1" t="s">
        <v>40</v>
      </c>
      <c r="K48" s="1">
        <v>-22.401169</v>
      </c>
      <c r="L48" s="1">
        <v>-41.775249</v>
      </c>
      <c r="M48" s="1">
        <v>3.0</v>
      </c>
      <c r="Q48" s="1">
        <f t="shared" si="1"/>
        <v>0</v>
      </c>
    </row>
    <row r="49" ht="15.75" customHeight="1">
      <c r="A49" s="1" t="s">
        <v>194</v>
      </c>
      <c r="B49" s="2">
        <v>45891.0</v>
      </c>
      <c r="C49" s="1" t="s">
        <v>195</v>
      </c>
      <c r="D49" s="1" t="s">
        <v>196</v>
      </c>
      <c r="E49" s="1" t="s">
        <v>197</v>
      </c>
      <c r="F49" s="1">
        <v>195.0</v>
      </c>
      <c r="G49" s="1" t="s">
        <v>19</v>
      </c>
      <c r="H49" s="1">
        <v>1331.0</v>
      </c>
      <c r="I49" s="1" t="s">
        <v>198</v>
      </c>
      <c r="J49" s="1" t="s">
        <v>28</v>
      </c>
      <c r="K49" s="1">
        <v>-22.374501</v>
      </c>
      <c r="L49" s="1">
        <v>-41.722474</v>
      </c>
      <c r="M49" s="1">
        <v>4.0</v>
      </c>
      <c r="Q49" s="1">
        <f t="shared" si="1"/>
        <v>1331</v>
      </c>
    </row>
    <row r="50" ht="15.75" customHeight="1">
      <c r="A50" s="1" t="s">
        <v>199</v>
      </c>
      <c r="B50" s="2">
        <v>46160.0</v>
      </c>
      <c r="C50" s="1" t="s">
        <v>113</v>
      </c>
      <c r="D50" s="1" t="s">
        <v>200</v>
      </c>
      <c r="E50" s="1" t="s">
        <v>69</v>
      </c>
      <c r="F50" s="1">
        <v>4825.0</v>
      </c>
      <c r="G50" s="1" t="s">
        <v>201</v>
      </c>
      <c r="H50" s="1">
        <v>6782.0</v>
      </c>
      <c r="I50" s="1" t="s">
        <v>21</v>
      </c>
      <c r="J50" s="1" t="s">
        <v>86</v>
      </c>
      <c r="K50" s="1">
        <v>-22.383659</v>
      </c>
      <c r="L50" s="1">
        <v>-41.774646</v>
      </c>
      <c r="M50" s="1">
        <v>2.0</v>
      </c>
      <c r="Q50" s="1">
        <f t="shared" si="1"/>
        <v>0</v>
      </c>
    </row>
    <row r="51" ht="15.75" customHeight="1">
      <c r="A51" s="1" t="s">
        <v>202</v>
      </c>
      <c r="B51" s="2">
        <v>45966.0</v>
      </c>
      <c r="C51" s="1" t="s">
        <v>203</v>
      </c>
      <c r="D51" s="1" t="s">
        <v>204</v>
      </c>
      <c r="E51" s="1" t="s">
        <v>19</v>
      </c>
      <c r="F51" s="1">
        <v>1136.0</v>
      </c>
      <c r="G51" s="1" t="s">
        <v>136</v>
      </c>
      <c r="H51" s="1">
        <v>2724.0</v>
      </c>
      <c r="I51" s="1" t="s">
        <v>21</v>
      </c>
      <c r="J51" s="1" t="s">
        <v>205</v>
      </c>
      <c r="K51" s="1">
        <v>-22.438724</v>
      </c>
      <c r="L51" s="1">
        <v>-41.731422</v>
      </c>
      <c r="M51" s="1">
        <v>2.0</v>
      </c>
      <c r="Q51" s="1">
        <f t="shared" si="1"/>
        <v>0</v>
      </c>
    </row>
    <row r="52" ht="15.75" customHeight="1">
      <c r="A52" s="1" t="s">
        <v>206</v>
      </c>
      <c r="B52" s="2">
        <v>45883.0</v>
      </c>
      <c r="C52" s="1" t="s">
        <v>203</v>
      </c>
      <c r="D52" s="1" t="s">
        <v>204</v>
      </c>
      <c r="E52" s="1" t="s">
        <v>19</v>
      </c>
      <c r="F52" s="1">
        <v>1136.0</v>
      </c>
      <c r="G52" s="1" t="s">
        <v>69</v>
      </c>
      <c r="H52" s="1">
        <v>5961.0</v>
      </c>
      <c r="I52" s="1" t="s">
        <v>198</v>
      </c>
      <c r="J52" s="1" t="s">
        <v>80</v>
      </c>
      <c r="K52" s="1">
        <v>-22.400217</v>
      </c>
      <c r="L52" s="1">
        <v>-41.775563</v>
      </c>
      <c r="M52" s="1">
        <v>1.0</v>
      </c>
      <c r="Q52" s="1">
        <f t="shared" si="1"/>
        <v>5961</v>
      </c>
    </row>
    <row r="53" ht="15.75" customHeight="1">
      <c r="A53" s="1" t="s">
        <v>207</v>
      </c>
      <c r="B53" s="2">
        <v>45856.0</v>
      </c>
      <c r="C53" s="1" t="s">
        <v>208</v>
      </c>
      <c r="D53" s="1" t="s">
        <v>209</v>
      </c>
      <c r="E53" s="1" t="s">
        <v>210</v>
      </c>
      <c r="F53" s="1">
        <v>1588.0</v>
      </c>
      <c r="G53" s="1" t="s">
        <v>211</v>
      </c>
      <c r="H53" s="1">
        <v>16529.0</v>
      </c>
      <c r="I53" s="1" t="s">
        <v>21</v>
      </c>
      <c r="J53" s="1" t="s">
        <v>22</v>
      </c>
      <c r="K53" s="1">
        <v>-22.353455</v>
      </c>
      <c r="L53" s="1">
        <v>-41.712286</v>
      </c>
      <c r="M53" s="1">
        <v>3.0</v>
      </c>
      <c r="Q53" s="1">
        <f t="shared" si="1"/>
        <v>0</v>
      </c>
    </row>
    <row r="54" ht="15.75" customHeight="1">
      <c r="A54" s="1" t="s">
        <v>212</v>
      </c>
      <c r="B54" s="2">
        <v>46015.0</v>
      </c>
      <c r="C54" s="1" t="s">
        <v>208</v>
      </c>
      <c r="D54" s="1" t="s">
        <v>209</v>
      </c>
      <c r="E54" s="1" t="s">
        <v>210</v>
      </c>
      <c r="F54" s="1">
        <v>1588.0</v>
      </c>
      <c r="G54" s="1" t="s">
        <v>213</v>
      </c>
      <c r="H54" s="1">
        <v>4044.0</v>
      </c>
      <c r="I54" s="1" t="s">
        <v>198</v>
      </c>
      <c r="J54" s="1" t="s">
        <v>51</v>
      </c>
      <c r="K54" s="1">
        <v>-22.391085</v>
      </c>
      <c r="L54" s="1">
        <v>-41.705473</v>
      </c>
      <c r="M54" s="1">
        <v>2.0</v>
      </c>
      <c r="Q54" s="1">
        <f t="shared" si="1"/>
        <v>4044</v>
      </c>
    </row>
    <row r="55" ht="15.75" customHeight="1">
      <c r="A55" s="1" t="s">
        <v>214</v>
      </c>
      <c r="B55" s="2">
        <v>46009.0</v>
      </c>
      <c r="C55" s="1" t="s">
        <v>215</v>
      </c>
      <c r="D55" s="1" t="s">
        <v>216</v>
      </c>
      <c r="E55" s="1" t="s">
        <v>59</v>
      </c>
      <c r="F55" s="1">
        <v>1790.0</v>
      </c>
      <c r="G55" s="1" t="s">
        <v>217</v>
      </c>
      <c r="H55" s="1">
        <v>5901.0</v>
      </c>
      <c r="I55" s="1" t="s">
        <v>21</v>
      </c>
      <c r="J55" s="1" t="s">
        <v>22</v>
      </c>
      <c r="K55" s="1">
        <v>-22.406654</v>
      </c>
      <c r="L55" s="1">
        <v>-41.754497</v>
      </c>
      <c r="M55" s="1">
        <v>4.0</v>
      </c>
      <c r="Q55" s="1">
        <f t="shared" si="1"/>
        <v>0</v>
      </c>
    </row>
    <row r="56" ht="15.75" customHeight="1">
      <c r="A56" s="1" t="s">
        <v>218</v>
      </c>
      <c r="B56" s="2">
        <v>45808.0</v>
      </c>
      <c r="C56" s="1" t="s">
        <v>215</v>
      </c>
      <c r="D56" s="1" t="s">
        <v>216</v>
      </c>
      <c r="E56" s="1" t="s">
        <v>59</v>
      </c>
      <c r="F56" s="1">
        <v>1790.0</v>
      </c>
      <c r="G56" s="1" t="s">
        <v>219</v>
      </c>
      <c r="H56" s="1">
        <v>5438.0</v>
      </c>
      <c r="I56" s="1" t="s">
        <v>198</v>
      </c>
      <c r="J56" s="1" t="s">
        <v>28</v>
      </c>
      <c r="K56" s="1">
        <v>-22.397681</v>
      </c>
      <c r="L56" s="1">
        <v>-41.771022</v>
      </c>
      <c r="M56" s="1">
        <v>3.0</v>
      </c>
      <c r="Q56" s="1">
        <f t="shared" si="1"/>
        <v>5438</v>
      </c>
    </row>
    <row r="57" ht="15.75" customHeight="1">
      <c r="A57" s="1" t="s">
        <v>220</v>
      </c>
      <c r="B57" s="2">
        <v>45953.0</v>
      </c>
      <c r="C57" s="1" t="s">
        <v>110</v>
      </c>
      <c r="D57" s="1" t="s">
        <v>221</v>
      </c>
      <c r="E57" s="1" t="s">
        <v>26</v>
      </c>
      <c r="F57" s="1">
        <v>13257.0</v>
      </c>
      <c r="G57" s="1" t="s">
        <v>222</v>
      </c>
      <c r="H57" s="1">
        <v>27690.0</v>
      </c>
      <c r="I57" s="1" t="s">
        <v>21</v>
      </c>
      <c r="J57" s="1" t="s">
        <v>86</v>
      </c>
      <c r="K57" s="1">
        <v>-22.448441</v>
      </c>
      <c r="L57" s="1">
        <v>-41.795905</v>
      </c>
      <c r="M57" s="1">
        <v>0.0</v>
      </c>
      <c r="Q57" s="1">
        <f t="shared" si="1"/>
        <v>0</v>
      </c>
    </row>
    <row r="58" ht="15.75" customHeight="1">
      <c r="A58" s="1" t="s">
        <v>223</v>
      </c>
      <c r="B58" s="2">
        <v>45971.0</v>
      </c>
      <c r="C58" s="1" t="s">
        <v>224</v>
      </c>
      <c r="D58" s="1" t="s">
        <v>225</v>
      </c>
      <c r="E58" s="1" t="s">
        <v>69</v>
      </c>
      <c r="F58" s="1">
        <v>4825.0</v>
      </c>
      <c r="G58" s="1" t="s">
        <v>226</v>
      </c>
      <c r="H58" s="1">
        <v>18360.0</v>
      </c>
      <c r="I58" s="1" t="s">
        <v>21</v>
      </c>
      <c r="J58" s="1" t="s">
        <v>51</v>
      </c>
      <c r="K58" s="1">
        <v>-22.414774</v>
      </c>
      <c r="L58" s="1">
        <v>-41.716589</v>
      </c>
      <c r="M58" s="1">
        <v>0.0</v>
      </c>
      <c r="Q58" s="1">
        <f t="shared" si="1"/>
        <v>0</v>
      </c>
    </row>
    <row r="59" ht="15.75" customHeight="1">
      <c r="A59" s="1" t="s">
        <v>227</v>
      </c>
      <c r="B59" s="2">
        <v>45816.0</v>
      </c>
      <c r="C59" s="1" t="s">
        <v>228</v>
      </c>
      <c r="D59" s="1" t="s">
        <v>229</v>
      </c>
      <c r="E59" s="1" t="s">
        <v>44</v>
      </c>
      <c r="F59" s="1">
        <v>5506.0</v>
      </c>
      <c r="G59" s="1" t="s">
        <v>230</v>
      </c>
      <c r="H59" s="1">
        <v>8884.0</v>
      </c>
      <c r="I59" s="1" t="s">
        <v>198</v>
      </c>
      <c r="J59" s="1" t="s">
        <v>86</v>
      </c>
      <c r="K59" s="1">
        <v>-22.435736</v>
      </c>
      <c r="L59" s="1">
        <v>-41.726695</v>
      </c>
      <c r="M59" s="1">
        <v>0.0</v>
      </c>
      <c r="Q59" s="1">
        <f t="shared" si="1"/>
        <v>8884</v>
      </c>
    </row>
    <row r="60" ht="15.75" customHeight="1">
      <c r="A60" s="1" t="s">
        <v>231</v>
      </c>
      <c r="B60" s="2">
        <v>45690.0</v>
      </c>
      <c r="C60" s="1" t="s">
        <v>228</v>
      </c>
      <c r="D60" s="1" t="s">
        <v>229</v>
      </c>
      <c r="E60" s="1" t="s">
        <v>44</v>
      </c>
      <c r="F60" s="1">
        <v>5506.0</v>
      </c>
      <c r="G60" s="1" t="s">
        <v>232</v>
      </c>
      <c r="H60" s="1">
        <v>29019.0</v>
      </c>
      <c r="I60" s="1" t="s">
        <v>21</v>
      </c>
      <c r="J60" s="1" t="s">
        <v>80</v>
      </c>
      <c r="K60" s="1">
        <v>-22.425127</v>
      </c>
      <c r="L60" s="1">
        <v>-41.73215</v>
      </c>
      <c r="M60" s="1">
        <v>3.0</v>
      </c>
      <c r="Q60" s="1">
        <f t="shared" si="1"/>
        <v>0</v>
      </c>
    </row>
    <row r="61" ht="15.75" customHeight="1">
      <c r="A61" s="1" t="s">
        <v>233</v>
      </c>
      <c r="B61" s="2">
        <v>45925.0</v>
      </c>
      <c r="C61" s="1" t="s">
        <v>228</v>
      </c>
      <c r="D61" s="1" t="s">
        <v>229</v>
      </c>
      <c r="E61" s="1" t="s">
        <v>44</v>
      </c>
      <c r="F61" s="1">
        <v>5506.0</v>
      </c>
      <c r="G61" s="1" t="s">
        <v>234</v>
      </c>
      <c r="H61" s="1">
        <v>7288.0</v>
      </c>
      <c r="I61" s="1" t="s">
        <v>21</v>
      </c>
      <c r="J61" s="1" t="s">
        <v>86</v>
      </c>
      <c r="K61" s="1">
        <v>-22.43267</v>
      </c>
      <c r="L61" s="1">
        <v>-41.756418</v>
      </c>
      <c r="M61" s="1">
        <v>2.0</v>
      </c>
      <c r="Q61" s="1">
        <f t="shared" si="1"/>
        <v>0</v>
      </c>
    </row>
    <row r="62" ht="15.75" customHeight="1">
      <c r="A62" s="1" t="s">
        <v>235</v>
      </c>
      <c r="B62" s="2">
        <v>45796.0</v>
      </c>
      <c r="C62" s="1" t="s">
        <v>236</v>
      </c>
      <c r="D62" s="1" t="s">
        <v>237</v>
      </c>
      <c r="E62" s="1" t="s">
        <v>59</v>
      </c>
      <c r="F62" s="1">
        <v>1790.0</v>
      </c>
      <c r="G62" s="1" t="s">
        <v>238</v>
      </c>
      <c r="H62" s="1">
        <v>8964.0</v>
      </c>
      <c r="I62" s="1" t="s">
        <v>21</v>
      </c>
      <c r="J62" s="1" t="s">
        <v>34</v>
      </c>
      <c r="K62" s="1">
        <v>-22.419894</v>
      </c>
      <c r="L62" s="1">
        <v>-41.79144</v>
      </c>
      <c r="M62" s="1">
        <v>3.0</v>
      </c>
      <c r="Q62" s="1">
        <f t="shared" si="1"/>
        <v>0</v>
      </c>
    </row>
    <row r="63" ht="15.75" customHeight="1">
      <c r="A63" s="1" t="s">
        <v>239</v>
      </c>
      <c r="B63" s="2">
        <v>46042.0</v>
      </c>
      <c r="C63" s="1" t="s">
        <v>236</v>
      </c>
      <c r="D63" s="1" t="s">
        <v>237</v>
      </c>
      <c r="E63" s="1" t="s">
        <v>59</v>
      </c>
      <c r="F63" s="1">
        <v>1790.0</v>
      </c>
      <c r="G63" s="1" t="s">
        <v>240</v>
      </c>
      <c r="H63" s="1">
        <v>5067.0</v>
      </c>
      <c r="I63" s="1" t="s">
        <v>21</v>
      </c>
      <c r="J63" s="1" t="s">
        <v>22</v>
      </c>
      <c r="K63" s="1">
        <v>-22.436139</v>
      </c>
      <c r="L63" s="1">
        <v>-41.75581</v>
      </c>
      <c r="M63" s="1">
        <v>3.0</v>
      </c>
      <c r="Q63" s="1">
        <f t="shared" si="1"/>
        <v>0</v>
      </c>
    </row>
    <row r="64" ht="15.75" customHeight="1">
      <c r="A64" s="1" t="s">
        <v>241</v>
      </c>
      <c r="B64" s="2">
        <v>46135.0</v>
      </c>
      <c r="C64" s="1" t="s">
        <v>17</v>
      </c>
      <c r="D64" s="1" t="s">
        <v>242</v>
      </c>
      <c r="E64" s="1" t="s">
        <v>19</v>
      </c>
      <c r="F64" s="1">
        <v>1136.0</v>
      </c>
      <c r="G64" s="1" t="s">
        <v>243</v>
      </c>
      <c r="H64" s="1">
        <v>8398.0</v>
      </c>
      <c r="I64" s="1" t="s">
        <v>21</v>
      </c>
      <c r="J64" s="1" t="s">
        <v>51</v>
      </c>
      <c r="K64" s="1">
        <v>-22.403872</v>
      </c>
      <c r="L64" s="1">
        <v>-41.708744</v>
      </c>
      <c r="M64" s="1">
        <v>3.0</v>
      </c>
      <c r="Q64" s="1">
        <f t="shared" si="1"/>
        <v>0</v>
      </c>
    </row>
    <row r="65" ht="15.75" customHeight="1">
      <c r="A65" s="1" t="s">
        <v>244</v>
      </c>
      <c r="B65" s="2">
        <v>45906.0</v>
      </c>
      <c r="C65" s="1" t="s">
        <v>17</v>
      </c>
      <c r="D65" s="1" t="s">
        <v>242</v>
      </c>
      <c r="E65" s="1" t="s">
        <v>19</v>
      </c>
      <c r="F65" s="1">
        <v>1136.0</v>
      </c>
      <c r="G65" s="1" t="s">
        <v>245</v>
      </c>
      <c r="H65" s="1">
        <v>3389.0</v>
      </c>
      <c r="I65" s="1" t="s">
        <v>198</v>
      </c>
      <c r="J65" s="1" t="s">
        <v>80</v>
      </c>
      <c r="K65" s="1">
        <v>-22.437273</v>
      </c>
      <c r="L65" s="1">
        <v>-41.745673</v>
      </c>
      <c r="M65" s="1">
        <v>4.0</v>
      </c>
      <c r="Q65" s="1">
        <f t="shared" si="1"/>
        <v>3389</v>
      </c>
    </row>
    <row r="66" ht="15.75" customHeight="1">
      <c r="A66" s="1" t="s">
        <v>246</v>
      </c>
      <c r="B66" s="2">
        <v>45786.0</v>
      </c>
      <c r="C66" s="1" t="s">
        <v>183</v>
      </c>
      <c r="D66" s="1" t="s">
        <v>247</v>
      </c>
      <c r="E66" s="1" t="s">
        <v>33</v>
      </c>
      <c r="F66" s="1">
        <v>821.0</v>
      </c>
      <c r="G66" s="1" t="s">
        <v>248</v>
      </c>
      <c r="H66" s="1">
        <v>11844.0</v>
      </c>
      <c r="I66" s="1" t="s">
        <v>21</v>
      </c>
      <c r="J66" s="1" t="s">
        <v>40</v>
      </c>
      <c r="K66" s="1">
        <v>-22.403719</v>
      </c>
      <c r="L66" s="1">
        <v>-41.7237</v>
      </c>
      <c r="M66" s="1">
        <v>3.0</v>
      </c>
      <c r="Q66" s="1">
        <f t="shared" si="1"/>
        <v>0</v>
      </c>
    </row>
    <row r="67" ht="15.75" customHeight="1">
      <c r="A67" s="1" t="s">
        <v>249</v>
      </c>
      <c r="B67" s="2">
        <v>45934.0</v>
      </c>
      <c r="C67" s="1" t="s">
        <v>183</v>
      </c>
      <c r="D67" s="1" t="s">
        <v>247</v>
      </c>
      <c r="E67" s="1" t="s">
        <v>33</v>
      </c>
      <c r="F67" s="1">
        <v>821.0</v>
      </c>
      <c r="G67" s="1" t="s">
        <v>250</v>
      </c>
      <c r="H67" s="1">
        <v>19691.0</v>
      </c>
      <c r="I67" s="1" t="s">
        <v>21</v>
      </c>
      <c r="J67" s="1" t="s">
        <v>80</v>
      </c>
      <c r="K67" s="1">
        <v>-22.390566</v>
      </c>
      <c r="L67" s="1">
        <v>-41.717806</v>
      </c>
      <c r="M67" s="1">
        <v>0.0</v>
      </c>
      <c r="Q67" s="1">
        <f t="shared" si="1"/>
        <v>0</v>
      </c>
    </row>
    <row r="68" ht="15.75" customHeight="1">
      <c r="A68" s="1" t="s">
        <v>251</v>
      </c>
      <c r="B68" s="2">
        <v>45712.0</v>
      </c>
      <c r="C68" s="1" t="s">
        <v>252</v>
      </c>
      <c r="D68" s="1" t="s">
        <v>253</v>
      </c>
      <c r="E68" s="1" t="s">
        <v>163</v>
      </c>
      <c r="F68" s="1">
        <v>2059.0</v>
      </c>
      <c r="G68" s="1" t="s">
        <v>254</v>
      </c>
      <c r="H68" s="1">
        <v>12630.0</v>
      </c>
      <c r="I68" s="1" t="s">
        <v>21</v>
      </c>
      <c r="J68" s="1" t="s">
        <v>28</v>
      </c>
      <c r="K68" s="1">
        <v>-22.393795</v>
      </c>
      <c r="L68" s="1">
        <v>-41.703272</v>
      </c>
      <c r="M68" s="1">
        <v>1.0</v>
      </c>
      <c r="Q68" s="1">
        <f t="shared" si="1"/>
        <v>0</v>
      </c>
    </row>
    <row r="69" ht="15.75" customHeight="1">
      <c r="A69" s="1" t="s">
        <v>255</v>
      </c>
      <c r="B69" s="2">
        <v>45966.0</v>
      </c>
      <c r="C69" s="1" t="s">
        <v>252</v>
      </c>
      <c r="D69" s="1" t="s">
        <v>253</v>
      </c>
      <c r="E69" s="1" t="s">
        <v>163</v>
      </c>
      <c r="F69" s="1">
        <v>2059.0</v>
      </c>
      <c r="G69" s="1" t="s">
        <v>256</v>
      </c>
      <c r="H69" s="1">
        <v>4571.0</v>
      </c>
      <c r="I69" s="1" t="s">
        <v>21</v>
      </c>
      <c r="J69" s="1" t="s">
        <v>40</v>
      </c>
      <c r="K69" s="1">
        <v>-22.369438</v>
      </c>
      <c r="L69" s="1">
        <v>-41.737634</v>
      </c>
      <c r="M69" s="1">
        <v>2.0</v>
      </c>
      <c r="Q69" s="1">
        <f t="shared" si="1"/>
        <v>0</v>
      </c>
    </row>
    <row r="70" ht="15.75" customHeight="1">
      <c r="A70" s="1" t="s">
        <v>257</v>
      </c>
      <c r="B70" s="2">
        <v>45814.0</v>
      </c>
      <c r="C70" s="1" t="s">
        <v>258</v>
      </c>
      <c r="D70" s="1" t="s">
        <v>259</v>
      </c>
      <c r="E70" s="1" t="s">
        <v>44</v>
      </c>
      <c r="F70" s="1">
        <v>5506.0</v>
      </c>
      <c r="G70" s="1" t="s">
        <v>121</v>
      </c>
      <c r="H70" s="1">
        <v>12870.0</v>
      </c>
      <c r="I70" s="1" t="s">
        <v>21</v>
      </c>
      <c r="J70" s="1" t="s">
        <v>22</v>
      </c>
      <c r="K70" s="1">
        <v>-22.398018</v>
      </c>
      <c r="L70" s="1">
        <v>-41.775279</v>
      </c>
      <c r="M70" s="1">
        <v>4.0</v>
      </c>
      <c r="Q70" s="1">
        <f t="shared" si="1"/>
        <v>0</v>
      </c>
    </row>
    <row r="71" ht="15.75" customHeight="1">
      <c r="A71" s="1" t="s">
        <v>260</v>
      </c>
      <c r="B71" s="2">
        <v>46058.0</v>
      </c>
      <c r="C71" s="1" t="s">
        <v>113</v>
      </c>
      <c r="D71" s="1" t="s">
        <v>261</v>
      </c>
      <c r="E71" s="1" t="s">
        <v>69</v>
      </c>
      <c r="F71" s="1">
        <v>4825.0</v>
      </c>
      <c r="G71" s="1" t="s">
        <v>262</v>
      </c>
      <c r="H71" s="1">
        <v>8020.0</v>
      </c>
      <c r="I71" s="1" t="s">
        <v>198</v>
      </c>
      <c r="J71" s="1" t="s">
        <v>22</v>
      </c>
      <c r="K71" s="1">
        <v>-22.420008</v>
      </c>
      <c r="L71" s="1">
        <v>-41.751628</v>
      </c>
      <c r="M71" s="1">
        <v>0.0</v>
      </c>
      <c r="Q71" s="1">
        <f t="shared" si="1"/>
        <v>8020</v>
      </c>
    </row>
    <row r="72" ht="15.75" customHeight="1">
      <c r="A72" s="1" t="s">
        <v>263</v>
      </c>
      <c r="B72" s="2">
        <v>45924.0</v>
      </c>
      <c r="C72" s="1" t="s">
        <v>113</v>
      </c>
      <c r="D72" s="1" t="s">
        <v>261</v>
      </c>
      <c r="E72" s="1" t="s">
        <v>69</v>
      </c>
      <c r="F72" s="1">
        <v>4825.0</v>
      </c>
      <c r="G72" s="1" t="s">
        <v>32</v>
      </c>
      <c r="H72" s="1">
        <v>5884.0</v>
      </c>
      <c r="I72" s="1" t="s">
        <v>21</v>
      </c>
      <c r="J72" s="1" t="s">
        <v>205</v>
      </c>
      <c r="K72" s="1">
        <v>-22.364069</v>
      </c>
      <c r="L72" s="1">
        <v>-41.738284</v>
      </c>
      <c r="M72" s="1">
        <v>4.0</v>
      </c>
      <c r="Q72" s="1">
        <f t="shared" si="1"/>
        <v>0</v>
      </c>
    </row>
    <row r="73" ht="15.75" customHeight="1">
      <c r="A73" s="1" t="s">
        <v>264</v>
      </c>
      <c r="B73" s="2">
        <v>45847.0</v>
      </c>
      <c r="C73" s="1" t="s">
        <v>113</v>
      </c>
      <c r="D73" s="1" t="s">
        <v>265</v>
      </c>
      <c r="E73" s="1" t="s">
        <v>69</v>
      </c>
      <c r="F73" s="1">
        <v>4825.0</v>
      </c>
      <c r="G73" s="1" t="s">
        <v>256</v>
      </c>
      <c r="H73" s="1">
        <v>7337.0</v>
      </c>
      <c r="I73" s="1" t="s">
        <v>21</v>
      </c>
      <c r="J73" s="1" t="s">
        <v>34</v>
      </c>
      <c r="K73" s="1">
        <v>-22.432922</v>
      </c>
      <c r="L73" s="1">
        <v>-41.725834</v>
      </c>
      <c r="M73" s="1">
        <v>1.0</v>
      </c>
      <c r="Q73" s="1">
        <f t="shared" si="1"/>
        <v>0</v>
      </c>
    </row>
    <row r="74" ht="15.75" customHeight="1">
      <c r="A74" s="1" t="s">
        <v>266</v>
      </c>
      <c r="B74" s="2">
        <v>45954.0</v>
      </c>
      <c r="C74" s="1" t="s">
        <v>113</v>
      </c>
      <c r="D74" s="1" t="s">
        <v>265</v>
      </c>
      <c r="E74" s="1" t="s">
        <v>69</v>
      </c>
      <c r="F74" s="1">
        <v>4825.0</v>
      </c>
      <c r="G74" s="1" t="s">
        <v>78</v>
      </c>
      <c r="H74" s="1">
        <v>5020.0</v>
      </c>
      <c r="I74" s="1" t="s">
        <v>198</v>
      </c>
      <c r="J74" s="1" t="s">
        <v>22</v>
      </c>
      <c r="K74" s="1">
        <v>-22.354091</v>
      </c>
      <c r="L74" s="1">
        <v>-41.750704</v>
      </c>
      <c r="M74" s="1">
        <v>2.0</v>
      </c>
      <c r="Q74" s="1">
        <f t="shared" si="1"/>
        <v>5020</v>
      </c>
    </row>
    <row r="75" ht="15.75" customHeight="1">
      <c r="A75" s="1" t="s">
        <v>267</v>
      </c>
      <c r="B75" s="2">
        <v>45767.0</v>
      </c>
      <c r="C75" s="1" t="s">
        <v>268</v>
      </c>
      <c r="D75" s="1" t="s">
        <v>269</v>
      </c>
      <c r="E75" s="1" t="s">
        <v>136</v>
      </c>
      <c r="F75" s="1">
        <v>1588.0</v>
      </c>
      <c r="G75" s="1" t="s">
        <v>270</v>
      </c>
      <c r="H75" s="1">
        <v>4312.0</v>
      </c>
      <c r="I75" s="1" t="s">
        <v>21</v>
      </c>
      <c r="J75" s="1" t="s">
        <v>51</v>
      </c>
      <c r="K75" s="1">
        <v>-22.368651</v>
      </c>
      <c r="L75" s="1">
        <v>-41.785183</v>
      </c>
      <c r="M75" s="1">
        <v>3.0</v>
      </c>
      <c r="Q75" s="1">
        <f t="shared" si="1"/>
        <v>0</v>
      </c>
    </row>
    <row r="76" ht="15.75" customHeight="1">
      <c r="A76" s="1" t="s">
        <v>271</v>
      </c>
      <c r="B76" s="2">
        <v>46056.0</v>
      </c>
      <c r="C76" s="1" t="s">
        <v>268</v>
      </c>
      <c r="D76" s="1" t="s">
        <v>269</v>
      </c>
      <c r="E76" s="1" t="s">
        <v>136</v>
      </c>
      <c r="F76" s="1">
        <v>1588.0</v>
      </c>
      <c r="G76" s="1" t="s">
        <v>272</v>
      </c>
      <c r="H76" s="1">
        <v>5890.0</v>
      </c>
      <c r="I76" s="1" t="s">
        <v>21</v>
      </c>
      <c r="J76" s="1" t="s">
        <v>86</v>
      </c>
      <c r="K76" s="1">
        <v>-22.446592</v>
      </c>
      <c r="L76" s="1">
        <v>-41.734958</v>
      </c>
      <c r="M76" s="1">
        <v>0.0</v>
      </c>
      <c r="Q76" s="1">
        <f t="shared" si="1"/>
        <v>0</v>
      </c>
    </row>
    <row r="77" ht="15.75" customHeight="1">
      <c r="A77" s="1" t="s">
        <v>273</v>
      </c>
      <c r="B77" s="2">
        <v>46137.0</v>
      </c>
      <c r="C77" s="1" t="s">
        <v>268</v>
      </c>
      <c r="D77" s="1" t="s">
        <v>269</v>
      </c>
      <c r="E77" s="1" t="s">
        <v>136</v>
      </c>
      <c r="F77" s="1">
        <v>1588.0</v>
      </c>
      <c r="G77" s="1" t="s">
        <v>274</v>
      </c>
      <c r="H77" s="1">
        <v>4681.0</v>
      </c>
      <c r="I77" s="1" t="s">
        <v>21</v>
      </c>
      <c r="J77" s="1" t="s">
        <v>86</v>
      </c>
      <c r="K77" s="1">
        <v>-22.449088</v>
      </c>
      <c r="L77" s="1">
        <v>-41.784169</v>
      </c>
      <c r="M77" s="1">
        <v>3.0</v>
      </c>
      <c r="Q77" s="1">
        <f t="shared" si="1"/>
        <v>0</v>
      </c>
    </row>
    <row r="78" ht="15.75" customHeight="1">
      <c r="A78" s="1" t="s">
        <v>275</v>
      </c>
      <c r="B78" s="2">
        <v>46057.0</v>
      </c>
      <c r="C78" s="1" t="s">
        <v>268</v>
      </c>
      <c r="D78" s="1" t="s">
        <v>269</v>
      </c>
      <c r="E78" s="1" t="s">
        <v>136</v>
      </c>
      <c r="F78" s="1">
        <v>1588.0</v>
      </c>
      <c r="G78" s="1" t="s">
        <v>276</v>
      </c>
      <c r="H78" s="1">
        <v>8230.0</v>
      </c>
      <c r="I78" s="1" t="s">
        <v>21</v>
      </c>
      <c r="J78" s="1" t="s">
        <v>22</v>
      </c>
      <c r="K78" s="1">
        <v>-22.43255</v>
      </c>
      <c r="L78" s="1">
        <v>-41.78486</v>
      </c>
      <c r="M78" s="1">
        <v>4.0</v>
      </c>
      <c r="Q78" s="1">
        <f t="shared" si="1"/>
        <v>0</v>
      </c>
    </row>
    <row r="79" ht="15.75" customHeight="1">
      <c r="A79" s="1" t="s">
        <v>277</v>
      </c>
      <c r="B79" s="2">
        <v>45943.0</v>
      </c>
      <c r="C79" s="1" t="s">
        <v>278</v>
      </c>
      <c r="D79" s="1" t="s">
        <v>279</v>
      </c>
      <c r="E79" s="1" t="s">
        <v>256</v>
      </c>
      <c r="F79" s="1">
        <v>2512.0</v>
      </c>
      <c r="G79" s="1" t="s">
        <v>280</v>
      </c>
      <c r="H79" s="1">
        <v>12679.0</v>
      </c>
      <c r="I79" s="1" t="s">
        <v>21</v>
      </c>
      <c r="J79" s="1" t="s">
        <v>51</v>
      </c>
      <c r="K79" s="1">
        <v>-22.443179</v>
      </c>
      <c r="L79" s="1">
        <v>-41.716067</v>
      </c>
      <c r="M79" s="1">
        <v>2.0</v>
      </c>
      <c r="Q79" s="1">
        <f t="shared" si="1"/>
        <v>0</v>
      </c>
    </row>
    <row r="80" ht="15.75" customHeight="1">
      <c r="A80" s="1" t="s">
        <v>281</v>
      </c>
      <c r="B80" s="2">
        <v>45842.0</v>
      </c>
      <c r="C80" s="1" t="s">
        <v>282</v>
      </c>
      <c r="D80" s="1" t="s">
        <v>283</v>
      </c>
      <c r="E80" s="1" t="s">
        <v>45</v>
      </c>
      <c r="F80" s="1">
        <v>3162.0</v>
      </c>
      <c r="G80" s="1" t="s">
        <v>284</v>
      </c>
      <c r="H80" s="1">
        <v>7197.0</v>
      </c>
      <c r="I80" s="1" t="s">
        <v>21</v>
      </c>
      <c r="J80" s="1" t="s">
        <v>86</v>
      </c>
      <c r="K80" s="1">
        <v>-22.437058</v>
      </c>
      <c r="L80" s="1">
        <v>-41.767592</v>
      </c>
      <c r="M80" s="1">
        <v>4.0</v>
      </c>
      <c r="Q80" s="1">
        <f t="shared" si="1"/>
        <v>0</v>
      </c>
    </row>
    <row r="81" ht="15.75" customHeight="1">
      <c r="A81" s="1" t="s">
        <v>285</v>
      </c>
      <c r="B81" s="2">
        <v>46071.0</v>
      </c>
      <c r="C81" s="1" t="s">
        <v>286</v>
      </c>
      <c r="D81" s="1" t="s">
        <v>283</v>
      </c>
      <c r="E81" s="1" t="s">
        <v>59</v>
      </c>
      <c r="F81" s="1">
        <v>1790.0</v>
      </c>
      <c r="G81" s="1" t="s">
        <v>287</v>
      </c>
      <c r="H81" s="1">
        <v>6353.0</v>
      </c>
      <c r="I81" s="1" t="s">
        <v>21</v>
      </c>
      <c r="J81" s="1" t="s">
        <v>40</v>
      </c>
      <c r="K81" s="1">
        <v>-22.447048</v>
      </c>
      <c r="L81" s="1">
        <v>-41.726712</v>
      </c>
      <c r="M81" s="1">
        <v>0.0</v>
      </c>
      <c r="Q81" s="1">
        <f t="shared" si="1"/>
        <v>0</v>
      </c>
    </row>
    <row r="82" ht="15.75" customHeight="1">
      <c r="A82" s="1" t="s">
        <v>288</v>
      </c>
      <c r="B82" s="2">
        <v>46169.0</v>
      </c>
      <c r="C82" s="1" t="s">
        <v>289</v>
      </c>
      <c r="D82" s="1" t="s">
        <v>283</v>
      </c>
      <c r="E82" s="1" t="s">
        <v>290</v>
      </c>
      <c r="F82" s="1">
        <v>1588.0</v>
      </c>
      <c r="G82" s="1" t="s">
        <v>291</v>
      </c>
      <c r="H82" s="1">
        <v>1782.0</v>
      </c>
      <c r="I82" s="1" t="s">
        <v>21</v>
      </c>
      <c r="J82" s="1" t="s">
        <v>80</v>
      </c>
      <c r="K82" s="1">
        <v>-22.374009</v>
      </c>
      <c r="L82" s="1">
        <v>-41.701867</v>
      </c>
      <c r="M82" s="1">
        <v>3.0</v>
      </c>
      <c r="Q82" s="1">
        <f t="shared" si="1"/>
        <v>0</v>
      </c>
    </row>
    <row r="83" ht="15.75" customHeight="1">
      <c r="A83" s="1" t="s">
        <v>292</v>
      </c>
      <c r="B83" s="2">
        <v>46051.0</v>
      </c>
      <c r="C83" s="1" t="s">
        <v>293</v>
      </c>
      <c r="D83" s="1" t="s">
        <v>294</v>
      </c>
      <c r="E83" s="1" t="s">
        <v>33</v>
      </c>
      <c r="F83" s="1">
        <v>821.0</v>
      </c>
      <c r="G83" s="1" t="s">
        <v>60</v>
      </c>
      <c r="H83" s="1">
        <v>3277.0</v>
      </c>
      <c r="I83" s="1" t="s">
        <v>21</v>
      </c>
      <c r="J83" s="1" t="s">
        <v>22</v>
      </c>
      <c r="K83" s="1">
        <v>-22.443807</v>
      </c>
      <c r="L83" s="1">
        <v>-41.774952</v>
      </c>
      <c r="M83" s="1">
        <v>3.0</v>
      </c>
      <c r="Q83" s="1">
        <f t="shared" si="1"/>
        <v>0</v>
      </c>
    </row>
    <row r="84" ht="15.75" customHeight="1">
      <c r="A84" s="1" t="s">
        <v>295</v>
      </c>
      <c r="B84" s="2">
        <v>45836.0</v>
      </c>
      <c r="C84" s="1" t="s">
        <v>296</v>
      </c>
      <c r="D84" s="1" t="s">
        <v>294</v>
      </c>
      <c r="E84" s="1" t="s">
        <v>297</v>
      </c>
      <c r="F84" s="1">
        <v>1136.0</v>
      </c>
      <c r="G84" s="1" t="s">
        <v>298</v>
      </c>
      <c r="H84" s="1">
        <v>14663.0</v>
      </c>
      <c r="I84" s="1" t="s">
        <v>21</v>
      </c>
      <c r="J84" s="1" t="s">
        <v>22</v>
      </c>
      <c r="K84" s="1">
        <v>-22.380127</v>
      </c>
      <c r="L84" s="1">
        <v>-41.762237</v>
      </c>
      <c r="M84" s="1">
        <v>2.0</v>
      </c>
      <c r="Q84" s="1">
        <f t="shared" si="1"/>
        <v>0</v>
      </c>
    </row>
    <row r="85" ht="15.75" customHeight="1">
      <c r="A85" s="1" t="s">
        <v>299</v>
      </c>
      <c r="B85" s="2">
        <v>46106.0</v>
      </c>
      <c r="C85" s="1" t="s">
        <v>300</v>
      </c>
      <c r="D85" s="1" t="s">
        <v>301</v>
      </c>
      <c r="E85" s="1" t="s">
        <v>38</v>
      </c>
      <c r="F85" s="1">
        <v>2975.0</v>
      </c>
      <c r="G85" s="1" t="s">
        <v>302</v>
      </c>
      <c r="H85" s="1">
        <v>9418.0</v>
      </c>
      <c r="I85" s="1" t="s">
        <v>198</v>
      </c>
      <c r="J85" s="1" t="s">
        <v>34</v>
      </c>
      <c r="K85" s="1">
        <v>-22.429881</v>
      </c>
      <c r="L85" s="1">
        <v>-41.783791</v>
      </c>
      <c r="M85" s="1">
        <v>2.0</v>
      </c>
      <c r="Q85" s="1">
        <f t="shared" si="1"/>
        <v>9418</v>
      </c>
    </row>
    <row r="86" ht="15.75" customHeight="1">
      <c r="A86" s="1" t="s">
        <v>303</v>
      </c>
      <c r="B86" s="2">
        <v>45682.0</v>
      </c>
      <c r="C86" s="1" t="s">
        <v>304</v>
      </c>
      <c r="D86" s="1" t="s">
        <v>301</v>
      </c>
      <c r="E86" s="1" t="s">
        <v>305</v>
      </c>
      <c r="F86" s="1">
        <v>2059.0</v>
      </c>
      <c r="G86" s="1" t="s">
        <v>84</v>
      </c>
      <c r="H86" s="1">
        <v>11494.0</v>
      </c>
      <c r="I86" s="1" t="s">
        <v>21</v>
      </c>
      <c r="J86" s="1" t="s">
        <v>34</v>
      </c>
      <c r="K86" s="1">
        <v>-22.446676</v>
      </c>
      <c r="L86" s="1">
        <v>-41.785944</v>
      </c>
      <c r="M86" s="1">
        <v>0.0</v>
      </c>
      <c r="Q86" s="1">
        <f t="shared" si="1"/>
        <v>0</v>
      </c>
    </row>
    <row r="87" ht="15.75" customHeight="1">
      <c r="A87" s="1" t="s">
        <v>306</v>
      </c>
      <c r="B87" s="2">
        <v>45731.0</v>
      </c>
      <c r="C87" s="1" t="s">
        <v>307</v>
      </c>
      <c r="D87" s="1" t="s">
        <v>301</v>
      </c>
      <c r="E87" s="1" t="s">
        <v>104</v>
      </c>
      <c r="F87" s="1">
        <v>1136.0</v>
      </c>
      <c r="G87" s="1" t="s">
        <v>308</v>
      </c>
      <c r="H87" s="1">
        <v>16183.0</v>
      </c>
      <c r="I87" s="1" t="s">
        <v>21</v>
      </c>
      <c r="J87" s="1" t="s">
        <v>28</v>
      </c>
      <c r="K87" s="1">
        <v>-22.381764</v>
      </c>
      <c r="L87" s="1">
        <v>-41.704226</v>
      </c>
      <c r="M87" s="1">
        <v>2.0</v>
      </c>
      <c r="Q87" s="1">
        <f t="shared" si="1"/>
        <v>0</v>
      </c>
    </row>
    <row r="88" ht="15.75" customHeight="1">
      <c r="A88" s="1" t="s">
        <v>309</v>
      </c>
      <c r="B88" s="2">
        <v>46170.0</v>
      </c>
      <c r="C88" s="1" t="s">
        <v>310</v>
      </c>
      <c r="D88" s="1" t="s">
        <v>301</v>
      </c>
      <c r="E88" s="1" t="s">
        <v>256</v>
      </c>
      <c r="F88" s="1">
        <v>2512.0</v>
      </c>
      <c r="G88" s="1" t="s">
        <v>311</v>
      </c>
      <c r="H88" s="1">
        <v>11188.0</v>
      </c>
      <c r="I88" s="1" t="s">
        <v>198</v>
      </c>
      <c r="J88" s="1" t="s">
        <v>80</v>
      </c>
      <c r="K88" s="1">
        <v>-22.388152</v>
      </c>
      <c r="L88" s="1">
        <v>-41.74413</v>
      </c>
      <c r="M88" s="1">
        <v>2.0</v>
      </c>
      <c r="Q88" s="1">
        <f t="shared" si="1"/>
        <v>11188</v>
      </c>
    </row>
    <row r="89" ht="15.75" customHeight="1">
      <c r="A89" s="1" t="s">
        <v>312</v>
      </c>
      <c r="B89" s="2">
        <v>46043.0</v>
      </c>
      <c r="C89" s="1" t="s">
        <v>313</v>
      </c>
      <c r="D89" s="1" t="s">
        <v>301</v>
      </c>
      <c r="E89" s="1" t="s">
        <v>314</v>
      </c>
      <c r="F89" s="1">
        <v>1790.0</v>
      </c>
      <c r="G89" s="1" t="s">
        <v>315</v>
      </c>
      <c r="H89" s="1">
        <v>2611.0</v>
      </c>
      <c r="I89" s="1" t="s">
        <v>198</v>
      </c>
      <c r="J89" s="1" t="s">
        <v>22</v>
      </c>
      <c r="K89" s="1">
        <v>-22.437281</v>
      </c>
      <c r="L89" s="1">
        <v>-41.748275</v>
      </c>
      <c r="M89" s="1">
        <v>0.0</v>
      </c>
      <c r="Q89" s="1">
        <f t="shared" si="1"/>
        <v>2611</v>
      </c>
    </row>
    <row r="90" ht="15.75" customHeight="1">
      <c r="A90" s="1" t="s">
        <v>316</v>
      </c>
      <c r="B90" s="2">
        <v>45710.0</v>
      </c>
      <c r="C90" s="1" t="s">
        <v>317</v>
      </c>
      <c r="D90" s="1" t="s">
        <v>318</v>
      </c>
      <c r="E90" s="1" t="s">
        <v>291</v>
      </c>
      <c r="F90" s="1">
        <v>194.0</v>
      </c>
      <c r="G90" s="1" t="s">
        <v>50</v>
      </c>
      <c r="H90" s="1">
        <v>1782.0</v>
      </c>
      <c r="I90" s="1" t="s">
        <v>21</v>
      </c>
      <c r="J90" s="1" t="s">
        <v>80</v>
      </c>
      <c r="K90" s="1">
        <v>-22.447746</v>
      </c>
      <c r="L90" s="1">
        <v>-41.717867</v>
      </c>
      <c r="M90" s="1">
        <v>4.0</v>
      </c>
      <c r="Q90" s="1">
        <f t="shared" si="1"/>
        <v>0</v>
      </c>
    </row>
    <row r="91" ht="15.75" customHeight="1">
      <c r="A91" s="1" t="s">
        <v>319</v>
      </c>
      <c r="B91" s="2">
        <v>45819.0</v>
      </c>
      <c r="C91" s="1" t="s">
        <v>320</v>
      </c>
      <c r="D91" s="1" t="s">
        <v>318</v>
      </c>
      <c r="E91" s="1" t="s">
        <v>185</v>
      </c>
      <c r="F91" s="1">
        <v>3162.0</v>
      </c>
      <c r="G91" s="1" t="s">
        <v>321</v>
      </c>
      <c r="H91" s="1">
        <v>5886.0</v>
      </c>
      <c r="I91" s="1" t="s">
        <v>21</v>
      </c>
      <c r="J91" s="1" t="s">
        <v>22</v>
      </c>
      <c r="K91" s="1">
        <v>-22.396558</v>
      </c>
      <c r="L91" s="1">
        <v>-41.77586</v>
      </c>
      <c r="M91" s="1">
        <v>2.0</v>
      </c>
      <c r="Q91" s="1">
        <f t="shared" si="1"/>
        <v>0</v>
      </c>
    </row>
    <row r="92" ht="15.75" customHeight="1">
      <c r="A92" s="1" t="s">
        <v>322</v>
      </c>
      <c r="B92" s="2">
        <v>45771.0</v>
      </c>
      <c r="C92" s="1" t="s">
        <v>323</v>
      </c>
      <c r="D92" s="1" t="s">
        <v>324</v>
      </c>
      <c r="E92" s="1" t="s">
        <v>305</v>
      </c>
      <c r="F92" s="1">
        <v>2059.0</v>
      </c>
      <c r="G92" s="1" t="s">
        <v>325</v>
      </c>
      <c r="H92" s="1">
        <v>18040.0</v>
      </c>
      <c r="I92" s="1" t="s">
        <v>21</v>
      </c>
      <c r="J92" s="1" t="s">
        <v>205</v>
      </c>
      <c r="K92" s="1">
        <v>-22.356307</v>
      </c>
      <c r="L92" s="1">
        <v>-41.701507</v>
      </c>
      <c r="M92" s="1">
        <v>4.0</v>
      </c>
      <c r="Q92" s="1">
        <f t="shared" si="1"/>
        <v>0</v>
      </c>
    </row>
    <row r="93" ht="15.75" customHeight="1">
      <c r="A93" s="1" t="s">
        <v>326</v>
      </c>
      <c r="B93" s="2">
        <v>46004.0</v>
      </c>
      <c r="C93" s="1" t="s">
        <v>278</v>
      </c>
      <c r="D93" s="1" t="s">
        <v>324</v>
      </c>
      <c r="E93" s="1" t="s">
        <v>256</v>
      </c>
      <c r="F93" s="1">
        <v>2512.0</v>
      </c>
      <c r="G93" s="1" t="s">
        <v>297</v>
      </c>
      <c r="H93" s="1">
        <v>3648.0</v>
      </c>
      <c r="I93" s="1" t="s">
        <v>21</v>
      </c>
      <c r="J93" s="1" t="s">
        <v>86</v>
      </c>
      <c r="K93" s="1">
        <v>-22.429949</v>
      </c>
      <c r="L93" s="1">
        <v>-41.711197</v>
      </c>
      <c r="M93" s="1">
        <v>3.0</v>
      </c>
      <c r="Q93" s="1">
        <f t="shared" si="1"/>
        <v>0</v>
      </c>
    </row>
    <row r="94" ht="15.75" customHeight="1">
      <c r="A94" s="1" t="s">
        <v>327</v>
      </c>
      <c r="B94" s="2">
        <v>45721.0</v>
      </c>
      <c r="C94" s="1" t="s">
        <v>328</v>
      </c>
      <c r="D94" s="1" t="s">
        <v>324</v>
      </c>
      <c r="E94" s="1" t="s">
        <v>90</v>
      </c>
      <c r="F94" s="1">
        <v>9435.0</v>
      </c>
      <c r="G94" s="1" t="s">
        <v>290</v>
      </c>
      <c r="H94" s="1">
        <v>11023.0</v>
      </c>
      <c r="I94" s="1" t="s">
        <v>198</v>
      </c>
      <c r="J94" s="1" t="s">
        <v>205</v>
      </c>
      <c r="K94" s="1">
        <v>-22.442709</v>
      </c>
      <c r="L94" s="1">
        <v>-41.7052</v>
      </c>
      <c r="M94" s="1">
        <v>1.0</v>
      </c>
      <c r="Q94" s="1">
        <f t="shared" si="1"/>
        <v>11023</v>
      </c>
    </row>
    <row r="95" ht="15.75" customHeight="1">
      <c r="A95" s="1" t="s">
        <v>329</v>
      </c>
      <c r="B95" s="2">
        <v>46084.0</v>
      </c>
      <c r="C95" s="1" t="s">
        <v>330</v>
      </c>
      <c r="D95" s="1" t="s">
        <v>324</v>
      </c>
      <c r="E95" s="1" t="s">
        <v>70</v>
      </c>
      <c r="F95" s="1">
        <v>3840.0</v>
      </c>
      <c r="G95" s="1" t="s">
        <v>331</v>
      </c>
      <c r="H95" s="1">
        <v>13476.0</v>
      </c>
      <c r="I95" s="1" t="s">
        <v>21</v>
      </c>
      <c r="J95" s="1" t="s">
        <v>22</v>
      </c>
      <c r="K95" s="1">
        <v>-22.361248</v>
      </c>
      <c r="L95" s="1">
        <v>-41.752123</v>
      </c>
      <c r="M95" s="1">
        <v>4.0</v>
      </c>
      <c r="Q95" s="1">
        <f t="shared" si="1"/>
        <v>0</v>
      </c>
    </row>
    <row r="96" ht="15.75" customHeight="1">
      <c r="A96" s="1" t="s">
        <v>332</v>
      </c>
      <c r="B96" s="2">
        <v>46166.0</v>
      </c>
      <c r="C96" s="1" t="s">
        <v>333</v>
      </c>
      <c r="D96" s="1" t="s">
        <v>334</v>
      </c>
      <c r="E96" s="1" t="s">
        <v>314</v>
      </c>
      <c r="F96" s="1">
        <v>1790.0</v>
      </c>
      <c r="G96" s="1" t="s">
        <v>335</v>
      </c>
      <c r="H96" s="1">
        <v>3120.0</v>
      </c>
      <c r="I96" s="1" t="s">
        <v>21</v>
      </c>
      <c r="J96" s="1" t="s">
        <v>34</v>
      </c>
      <c r="K96" s="1">
        <v>-22.384966</v>
      </c>
      <c r="L96" s="1">
        <v>-41.756848</v>
      </c>
      <c r="M96" s="1">
        <v>4.0</v>
      </c>
      <c r="Q96" s="1">
        <f t="shared" si="1"/>
        <v>0</v>
      </c>
    </row>
    <row r="97" ht="15.75" customHeight="1">
      <c r="A97" s="1" t="s">
        <v>336</v>
      </c>
      <c r="B97" s="2">
        <v>45684.0</v>
      </c>
      <c r="C97" s="1" t="s">
        <v>24</v>
      </c>
      <c r="D97" s="1" t="s">
        <v>334</v>
      </c>
      <c r="E97" s="1" t="s">
        <v>26</v>
      </c>
      <c r="F97" s="1">
        <v>13257.0</v>
      </c>
      <c r="G97" s="1" t="s">
        <v>19</v>
      </c>
      <c r="H97" s="1">
        <v>14393.0</v>
      </c>
      <c r="I97" s="1" t="s">
        <v>21</v>
      </c>
      <c r="J97" s="1" t="s">
        <v>51</v>
      </c>
      <c r="K97" s="1">
        <v>-22.381806</v>
      </c>
      <c r="L97" s="1">
        <v>-41.726208</v>
      </c>
      <c r="M97" s="1">
        <v>1.0</v>
      </c>
      <c r="Q97" s="1">
        <f t="shared" si="1"/>
        <v>0</v>
      </c>
    </row>
    <row r="98" ht="15.75" customHeight="1">
      <c r="A98" s="1" t="s">
        <v>337</v>
      </c>
      <c r="B98" s="2">
        <v>45786.0</v>
      </c>
      <c r="C98" s="1" t="s">
        <v>338</v>
      </c>
      <c r="D98" s="1" t="s">
        <v>339</v>
      </c>
      <c r="E98" s="1" t="s">
        <v>32</v>
      </c>
      <c r="F98" s="1">
        <v>1059.0</v>
      </c>
      <c r="G98" s="1" t="s">
        <v>340</v>
      </c>
      <c r="H98" s="1">
        <v>13765.0</v>
      </c>
      <c r="I98" s="1" t="s">
        <v>198</v>
      </c>
      <c r="J98" s="1" t="s">
        <v>51</v>
      </c>
      <c r="K98" s="1">
        <v>-22.395046</v>
      </c>
      <c r="L98" s="1">
        <v>-41.788442</v>
      </c>
      <c r="M98" s="1">
        <v>3.0</v>
      </c>
      <c r="Q98" s="1">
        <f t="shared" si="1"/>
        <v>13765</v>
      </c>
    </row>
    <row r="99" ht="15.75" customHeight="1">
      <c r="A99" s="1" t="s">
        <v>341</v>
      </c>
      <c r="B99" s="2">
        <v>46105.0</v>
      </c>
      <c r="C99" s="1" t="s">
        <v>342</v>
      </c>
      <c r="D99" s="1" t="s">
        <v>343</v>
      </c>
      <c r="E99" s="1" t="s">
        <v>344</v>
      </c>
      <c r="F99" s="1">
        <v>2512.0</v>
      </c>
      <c r="G99" s="1" t="s">
        <v>345</v>
      </c>
      <c r="H99" s="1">
        <v>12877.0</v>
      </c>
      <c r="I99" s="1" t="s">
        <v>198</v>
      </c>
      <c r="J99" s="1" t="s">
        <v>34</v>
      </c>
      <c r="K99" s="1">
        <v>-22.426797</v>
      </c>
      <c r="L99" s="1">
        <v>-41.741138</v>
      </c>
      <c r="M99" s="1">
        <v>0.0</v>
      </c>
      <c r="Q99" s="1">
        <f t="shared" si="1"/>
        <v>12877</v>
      </c>
    </row>
    <row r="100" ht="15.75" customHeight="1">
      <c r="A100" s="1" t="s">
        <v>346</v>
      </c>
      <c r="B100" s="2">
        <v>45704.0</v>
      </c>
      <c r="C100" s="1" t="s">
        <v>347</v>
      </c>
      <c r="D100" s="1" t="s">
        <v>343</v>
      </c>
      <c r="E100" s="1" t="s">
        <v>290</v>
      </c>
      <c r="F100" s="1">
        <v>1588.0</v>
      </c>
      <c r="G100" s="1" t="s">
        <v>348</v>
      </c>
      <c r="H100" s="1">
        <v>4437.0</v>
      </c>
      <c r="I100" s="1" t="s">
        <v>21</v>
      </c>
      <c r="J100" s="1" t="s">
        <v>34</v>
      </c>
      <c r="K100" s="1">
        <v>-22.368738</v>
      </c>
      <c r="L100" s="1">
        <v>-41.792339</v>
      </c>
      <c r="M100" s="1">
        <v>0.0</v>
      </c>
      <c r="Q100" s="1">
        <f t="shared" si="1"/>
        <v>0</v>
      </c>
    </row>
    <row r="101" ht="15.75" customHeight="1">
      <c r="A101" s="1" t="s">
        <v>349</v>
      </c>
      <c r="B101" s="2">
        <v>45702.0</v>
      </c>
      <c r="C101" s="1" t="s">
        <v>350</v>
      </c>
      <c r="D101" s="1" t="s">
        <v>343</v>
      </c>
      <c r="E101" s="1" t="s">
        <v>314</v>
      </c>
      <c r="F101" s="1">
        <v>1790.0</v>
      </c>
      <c r="G101" s="1" t="s">
        <v>351</v>
      </c>
      <c r="H101" s="1">
        <v>18022.0</v>
      </c>
      <c r="I101" s="1" t="s">
        <v>21</v>
      </c>
      <c r="J101" s="1" t="s">
        <v>80</v>
      </c>
      <c r="K101" s="1">
        <v>-22.389758</v>
      </c>
      <c r="L101" s="1">
        <v>-41.710958</v>
      </c>
      <c r="M101" s="1">
        <v>2.0</v>
      </c>
      <c r="Q101" s="1">
        <f t="shared" si="1"/>
        <v>0</v>
      </c>
    </row>
    <row r="102" ht="15.75" customHeight="1">
      <c r="A102" s="1" t="s">
        <v>352</v>
      </c>
      <c r="B102" s="2">
        <v>46065.0</v>
      </c>
      <c r="C102" s="1" t="s">
        <v>353</v>
      </c>
      <c r="D102" s="1" t="s">
        <v>343</v>
      </c>
      <c r="E102" s="1" t="s">
        <v>185</v>
      </c>
      <c r="F102" s="1">
        <v>3162.0</v>
      </c>
      <c r="G102" s="1" t="s">
        <v>70</v>
      </c>
      <c r="H102" s="1">
        <v>7002.0</v>
      </c>
      <c r="I102" s="1" t="s">
        <v>21</v>
      </c>
      <c r="J102" s="1" t="s">
        <v>22</v>
      </c>
      <c r="K102" s="1">
        <v>-22.384341</v>
      </c>
      <c r="L102" s="1">
        <v>-41.792362</v>
      </c>
      <c r="M102" s="1">
        <v>3.0</v>
      </c>
      <c r="Q102" s="1">
        <f t="shared" si="1"/>
        <v>0</v>
      </c>
    </row>
    <row r="103" ht="15.75" customHeight="1">
      <c r="A103" s="1" t="s">
        <v>354</v>
      </c>
      <c r="B103" s="2">
        <v>46023.0</v>
      </c>
      <c r="C103" s="1" t="s">
        <v>355</v>
      </c>
      <c r="D103" s="1" t="s">
        <v>343</v>
      </c>
      <c r="E103" s="1" t="s">
        <v>356</v>
      </c>
      <c r="F103" s="1">
        <v>0.0</v>
      </c>
      <c r="G103" s="1" t="s">
        <v>78</v>
      </c>
      <c r="H103" s="1">
        <v>195.0</v>
      </c>
      <c r="I103" s="1" t="s">
        <v>21</v>
      </c>
      <c r="J103" s="1" t="s">
        <v>205</v>
      </c>
      <c r="K103" s="1">
        <v>-22.378687</v>
      </c>
      <c r="L103" s="1">
        <v>-41.705857</v>
      </c>
      <c r="M103" s="1">
        <v>1.0</v>
      </c>
      <c r="Q103" s="1">
        <f t="shared" si="1"/>
        <v>0</v>
      </c>
    </row>
    <row r="104" ht="15.75" customHeight="1">
      <c r="A104" s="1" t="s">
        <v>357</v>
      </c>
      <c r="B104" s="2">
        <v>45984.0</v>
      </c>
      <c r="C104" s="1" t="s">
        <v>358</v>
      </c>
      <c r="D104" s="1" t="s">
        <v>359</v>
      </c>
      <c r="E104" s="1" t="s">
        <v>32</v>
      </c>
      <c r="F104" s="1">
        <v>1059.0</v>
      </c>
      <c r="G104" s="1" t="s">
        <v>360</v>
      </c>
      <c r="H104" s="1">
        <v>3016.0</v>
      </c>
      <c r="I104" s="1" t="s">
        <v>198</v>
      </c>
      <c r="J104" s="1" t="s">
        <v>22</v>
      </c>
      <c r="K104" s="1">
        <v>-22.4446</v>
      </c>
      <c r="L104" s="1">
        <v>-41.709957</v>
      </c>
      <c r="M104" s="1">
        <v>4.0</v>
      </c>
      <c r="Q104" s="1">
        <f t="shared" si="1"/>
        <v>3016</v>
      </c>
    </row>
    <row r="105" ht="15.75" customHeight="1">
      <c r="A105" s="1" t="s">
        <v>361</v>
      </c>
      <c r="B105" s="2">
        <v>45798.0</v>
      </c>
      <c r="C105" s="1" t="s">
        <v>362</v>
      </c>
      <c r="D105" s="1" t="s">
        <v>359</v>
      </c>
      <c r="E105" s="1" t="s">
        <v>70</v>
      </c>
      <c r="F105" s="1">
        <v>3840.0</v>
      </c>
      <c r="G105" s="1" t="s">
        <v>363</v>
      </c>
      <c r="H105" s="1">
        <v>13470.0</v>
      </c>
      <c r="I105" s="1" t="s">
        <v>21</v>
      </c>
      <c r="J105" s="1" t="s">
        <v>34</v>
      </c>
      <c r="K105" s="1">
        <v>-22.419506</v>
      </c>
      <c r="L105" s="1">
        <v>-41.744703</v>
      </c>
      <c r="M105" s="1">
        <v>4.0</v>
      </c>
      <c r="Q105" s="1">
        <f t="shared" si="1"/>
        <v>0</v>
      </c>
    </row>
    <row r="106" ht="15.75" customHeight="1">
      <c r="A106" s="1" t="s">
        <v>364</v>
      </c>
      <c r="B106" s="2">
        <v>46108.0</v>
      </c>
      <c r="C106" s="1" t="s">
        <v>365</v>
      </c>
      <c r="D106" s="1" t="s">
        <v>366</v>
      </c>
      <c r="E106" s="1" t="s">
        <v>344</v>
      </c>
      <c r="F106" s="1">
        <v>2512.0</v>
      </c>
      <c r="G106" s="1" t="s">
        <v>367</v>
      </c>
      <c r="H106" s="1">
        <v>8473.0</v>
      </c>
      <c r="I106" s="1" t="s">
        <v>21</v>
      </c>
      <c r="J106" s="1" t="s">
        <v>22</v>
      </c>
      <c r="K106" s="1">
        <v>-22.447871</v>
      </c>
      <c r="L106" s="1">
        <v>-41.716367</v>
      </c>
      <c r="M106" s="1">
        <v>3.0</v>
      </c>
      <c r="Q106" s="1">
        <f t="shared" si="1"/>
        <v>0</v>
      </c>
    </row>
    <row r="107" ht="15.75" customHeight="1">
      <c r="A107" s="1" t="s">
        <v>368</v>
      </c>
      <c r="B107" s="2">
        <v>45965.0</v>
      </c>
      <c r="C107" s="1" t="s">
        <v>369</v>
      </c>
      <c r="D107" s="1" t="s">
        <v>366</v>
      </c>
      <c r="E107" s="1" t="s">
        <v>197</v>
      </c>
      <c r="F107" s="1">
        <v>195.0</v>
      </c>
      <c r="G107" s="1" t="s">
        <v>370</v>
      </c>
      <c r="H107" s="1">
        <v>2919.0</v>
      </c>
      <c r="I107" s="1" t="s">
        <v>21</v>
      </c>
      <c r="J107" s="1" t="s">
        <v>40</v>
      </c>
      <c r="K107" s="1">
        <v>-22.422091</v>
      </c>
      <c r="L107" s="1">
        <v>-41.739025</v>
      </c>
      <c r="M107" s="1">
        <v>0.0</v>
      </c>
      <c r="Q107" s="1">
        <f t="shared" si="1"/>
        <v>0</v>
      </c>
    </row>
    <row r="108" ht="15.75" customHeight="1">
      <c r="A108" s="1" t="s">
        <v>371</v>
      </c>
      <c r="B108" s="2">
        <v>46112.0</v>
      </c>
      <c r="C108" s="1" t="s">
        <v>372</v>
      </c>
      <c r="D108" s="1" t="s">
        <v>373</v>
      </c>
      <c r="E108" s="1" t="s">
        <v>78</v>
      </c>
      <c r="F108" s="1">
        <v>195.0</v>
      </c>
      <c r="G108" s="1" t="s">
        <v>177</v>
      </c>
      <c r="H108" s="1">
        <v>3466.0</v>
      </c>
      <c r="I108" s="1" t="s">
        <v>198</v>
      </c>
      <c r="J108" s="1" t="s">
        <v>34</v>
      </c>
      <c r="K108" s="1">
        <v>-22.429427</v>
      </c>
      <c r="L108" s="1">
        <v>-41.781557</v>
      </c>
      <c r="M108" s="1">
        <v>0.0</v>
      </c>
      <c r="Q108" s="1">
        <f t="shared" si="1"/>
        <v>3466</v>
      </c>
    </row>
    <row r="109" ht="15.75" customHeight="1">
      <c r="A109" s="1" t="s">
        <v>374</v>
      </c>
      <c r="B109" s="2">
        <v>45684.0</v>
      </c>
      <c r="C109" s="1" t="s">
        <v>375</v>
      </c>
      <c r="D109" s="1" t="s">
        <v>376</v>
      </c>
      <c r="E109" s="1" t="s">
        <v>130</v>
      </c>
      <c r="F109" s="1">
        <v>13257.0</v>
      </c>
      <c r="G109" s="1" t="s">
        <v>377</v>
      </c>
      <c r="H109" s="1">
        <v>37085.0</v>
      </c>
      <c r="I109" s="1" t="s">
        <v>198</v>
      </c>
      <c r="J109" s="1" t="s">
        <v>80</v>
      </c>
      <c r="K109" s="1">
        <v>-22.35773</v>
      </c>
      <c r="L109" s="1">
        <v>-41.709255</v>
      </c>
      <c r="M109" s="1">
        <v>4.0</v>
      </c>
      <c r="Q109" s="1">
        <f t="shared" si="1"/>
        <v>37085</v>
      </c>
    </row>
    <row r="110" ht="15.75" customHeight="1">
      <c r="A110" s="1" t="s">
        <v>378</v>
      </c>
      <c r="B110" s="2">
        <v>46007.0</v>
      </c>
      <c r="C110" s="1" t="s">
        <v>379</v>
      </c>
      <c r="D110" s="1" t="s">
        <v>376</v>
      </c>
      <c r="E110" s="1" t="s">
        <v>59</v>
      </c>
      <c r="F110" s="1">
        <v>1790.0</v>
      </c>
      <c r="G110" s="1" t="s">
        <v>19</v>
      </c>
      <c r="H110" s="1">
        <v>2926.0</v>
      </c>
      <c r="I110" s="1" t="s">
        <v>21</v>
      </c>
      <c r="J110" s="1" t="s">
        <v>51</v>
      </c>
      <c r="K110" s="1">
        <v>-22.363426</v>
      </c>
      <c r="L110" s="1">
        <v>-41.721739</v>
      </c>
      <c r="M110" s="1">
        <v>4.0</v>
      </c>
      <c r="Q110" s="1">
        <f t="shared" si="1"/>
        <v>0</v>
      </c>
    </row>
    <row r="111" ht="15.75" customHeight="1">
      <c r="A111" s="1" t="s">
        <v>380</v>
      </c>
      <c r="B111" s="2">
        <v>45952.0</v>
      </c>
      <c r="C111" s="1" t="s">
        <v>381</v>
      </c>
      <c r="D111" s="1" t="s">
        <v>376</v>
      </c>
      <c r="E111" s="1" t="s">
        <v>90</v>
      </c>
      <c r="F111" s="1">
        <v>9435.0</v>
      </c>
      <c r="G111" s="1" t="s">
        <v>115</v>
      </c>
      <c r="H111" s="1">
        <v>14941.0</v>
      </c>
      <c r="I111" s="1" t="s">
        <v>198</v>
      </c>
      <c r="J111" s="1" t="s">
        <v>205</v>
      </c>
      <c r="K111" s="1">
        <v>-22.407616</v>
      </c>
      <c r="L111" s="1">
        <v>-41.728078</v>
      </c>
      <c r="M111" s="1">
        <v>4.0</v>
      </c>
      <c r="Q111" s="1">
        <f t="shared" si="1"/>
        <v>14941</v>
      </c>
    </row>
    <row r="112" ht="15.75" customHeight="1">
      <c r="A112" s="1" t="s">
        <v>382</v>
      </c>
      <c r="B112" s="2">
        <v>46136.0</v>
      </c>
      <c r="C112" s="1" t="s">
        <v>323</v>
      </c>
      <c r="D112" s="1" t="s">
        <v>376</v>
      </c>
      <c r="E112" s="1" t="s">
        <v>305</v>
      </c>
      <c r="F112" s="1">
        <v>2059.0</v>
      </c>
      <c r="G112" s="1" t="s">
        <v>383</v>
      </c>
      <c r="H112" s="1">
        <v>10155.0</v>
      </c>
      <c r="I112" s="1" t="s">
        <v>21</v>
      </c>
      <c r="J112" s="1" t="s">
        <v>28</v>
      </c>
      <c r="K112" s="1">
        <v>-22.359229</v>
      </c>
      <c r="L112" s="1">
        <v>-41.77193</v>
      </c>
      <c r="M112" s="1">
        <v>1.0</v>
      </c>
      <c r="Q112" s="1">
        <f t="shared" si="1"/>
        <v>0</v>
      </c>
    </row>
    <row r="113" ht="15.75" customHeight="1">
      <c r="A113" s="1" t="s">
        <v>384</v>
      </c>
      <c r="B113" s="2">
        <v>45960.0</v>
      </c>
      <c r="C113" s="1" t="s">
        <v>385</v>
      </c>
      <c r="D113" s="1" t="s">
        <v>386</v>
      </c>
      <c r="E113" s="1" t="s">
        <v>197</v>
      </c>
      <c r="F113" s="1">
        <v>195.0</v>
      </c>
      <c r="G113" s="1" t="s">
        <v>33</v>
      </c>
      <c r="H113" s="1">
        <v>1016.0</v>
      </c>
      <c r="I113" s="1" t="s">
        <v>21</v>
      </c>
      <c r="J113" s="1" t="s">
        <v>51</v>
      </c>
      <c r="K113" s="1">
        <v>-22.446139</v>
      </c>
      <c r="L113" s="1">
        <v>-41.772573</v>
      </c>
      <c r="M113" s="1">
        <v>2.0</v>
      </c>
      <c r="Q113" s="1">
        <f t="shared" si="1"/>
        <v>0</v>
      </c>
    </row>
    <row r="114" ht="15.75" customHeight="1">
      <c r="A114" s="1" t="s">
        <v>387</v>
      </c>
      <c r="B114" s="2">
        <v>45785.0</v>
      </c>
      <c r="C114" s="1" t="s">
        <v>385</v>
      </c>
      <c r="D114" s="1" t="s">
        <v>386</v>
      </c>
      <c r="E114" s="1" t="s">
        <v>197</v>
      </c>
      <c r="F114" s="1">
        <v>195.0</v>
      </c>
      <c r="G114" s="1" t="s">
        <v>388</v>
      </c>
      <c r="H114" s="1">
        <v>7580.0</v>
      </c>
      <c r="I114" s="1" t="s">
        <v>21</v>
      </c>
      <c r="J114" s="1" t="s">
        <v>80</v>
      </c>
      <c r="K114" s="1">
        <v>-22.3664</v>
      </c>
      <c r="L114" s="1">
        <v>-41.715241</v>
      </c>
      <c r="M114" s="1">
        <v>2.0</v>
      </c>
      <c r="Q114" s="1">
        <f t="shared" si="1"/>
        <v>0</v>
      </c>
    </row>
    <row r="115" ht="15.75" customHeight="1">
      <c r="A115" s="1" t="s">
        <v>389</v>
      </c>
      <c r="B115" s="2">
        <v>46135.0</v>
      </c>
      <c r="C115" s="1" t="s">
        <v>390</v>
      </c>
      <c r="D115" s="1" t="s">
        <v>391</v>
      </c>
      <c r="E115" s="1" t="s">
        <v>392</v>
      </c>
      <c r="F115" s="1">
        <v>2512.0</v>
      </c>
      <c r="G115" s="1" t="s">
        <v>393</v>
      </c>
      <c r="H115" s="1">
        <v>4469.0</v>
      </c>
      <c r="I115" s="1" t="s">
        <v>21</v>
      </c>
      <c r="J115" s="1" t="s">
        <v>80</v>
      </c>
      <c r="K115" s="1">
        <v>-22.401979</v>
      </c>
      <c r="L115" s="1">
        <v>-41.715567</v>
      </c>
      <c r="M115" s="1">
        <v>0.0</v>
      </c>
      <c r="Q115" s="1">
        <f t="shared" si="1"/>
        <v>0</v>
      </c>
    </row>
    <row r="116" ht="15.75" customHeight="1">
      <c r="A116" s="1" t="s">
        <v>394</v>
      </c>
      <c r="B116" s="2">
        <v>45941.0</v>
      </c>
      <c r="C116" s="1" t="s">
        <v>395</v>
      </c>
      <c r="D116" s="1" t="s">
        <v>396</v>
      </c>
      <c r="E116" s="1" t="s">
        <v>44</v>
      </c>
      <c r="F116" s="1">
        <v>5506.0</v>
      </c>
      <c r="G116" s="1" t="s">
        <v>397</v>
      </c>
      <c r="H116" s="1">
        <v>16529.0</v>
      </c>
      <c r="I116" s="1" t="s">
        <v>21</v>
      </c>
      <c r="J116" s="1" t="s">
        <v>80</v>
      </c>
      <c r="K116" s="1">
        <v>-22.354671</v>
      </c>
      <c r="L116" s="1">
        <v>-41.755956</v>
      </c>
      <c r="M116" s="1">
        <v>4.0</v>
      </c>
      <c r="Q116" s="1">
        <f t="shared" si="1"/>
        <v>0</v>
      </c>
    </row>
    <row r="117" ht="15.75" customHeight="1">
      <c r="A117" s="1" t="s">
        <v>398</v>
      </c>
      <c r="B117" s="2">
        <v>45788.0</v>
      </c>
      <c r="C117" s="1" t="s">
        <v>53</v>
      </c>
      <c r="D117" s="1" t="s">
        <v>396</v>
      </c>
      <c r="E117" s="1" t="s">
        <v>55</v>
      </c>
      <c r="F117" s="1">
        <v>2409.0</v>
      </c>
      <c r="G117" s="1" t="s">
        <v>399</v>
      </c>
      <c r="H117" s="1">
        <v>4192.0</v>
      </c>
      <c r="I117" s="1" t="s">
        <v>21</v>
      </c>
      <c r="J117" s="1" t="s">
        <v>28</v>
      </c>
      <c r="K117" s="1">
        <v>-22.43531</v>
      </c>
      <c r="L117" s="1">
        <v>-41.738205</v>
      </c>
      <c r="M117" s="1">
        <v>1.0</v>
      </c>
      <c r="Q117" s="1">
        <f t="shared" si="1"/>
        <v>0</v>
      </c>
    </row>
    <row r="118" ht="15.75" customHeight="1">
      <c r="A118" s="1" t="s">
        <v>400</v>
      </c>
      <c r="B118" s="2">
        <v>45697.0</v>
      </c>
      <c r="C118" s="1" t="s">
        <v>381</v>
      </c>
      <c r="D118" s="1" t="s">
        <v>396</v>
      </c>
      <c r="E118" s="1" t="s">
        <v>90</v>
      </c>
      <c r="F118" s="1">
        <v>9435.0</v>
      </c>
      <c r="G118" s="1" t="s">
        <v>314</v>
      </c>
      <c r="H118" s="1">
        <v>11225.0</v>
      </c>
      <c r="I118" s="1" t="s">
        <v>21</v>
      </c>
      <c r="J118" s="1" t="s">
        <v>205</v>
      </c>
      <c r="K118" s="1">
        <v>-22.392011</v>
      </c>
      <c r="L118" s="1">
        <v>-41.795804</v>
      </c>
      <c r="M118" s="1">
        <v>1.0</v>
      </c>
      <c r="Q118" s="1">
        <f t="shared" si="1"/>
        <v>0</v>
      </c>
    </row>
    <row r="119" ht="15.75" customHeight="1">
      <c r="A119" s="1" t="s">
        <v>401</v>
      </c>
      <c r="B119" s="2">
        <v>45674.0</v>
      </c>
      <c r="C119" s="1" t="s">
        <v>402</v>
      </c>
      <c r="D119" s="1" t="s">
        <v>396</v>
      </c>
      <c r="E119" s="1" t="s">
        <v>290</v>
      </c>
      <c r="F119" s="1">
        <v>1588.0</v>
      </c>
      <c r="G119" s="1" t="s">
        <v>197</v>
      </c>
      <c r="H119" s="1">
        <v>1783.0</v>
      </c>
      <c r="I119" s="1" t="s">
        <v>198</v>
      </c>
      <c r="J119" s="1" t="s">
        <v>40</v>
      </c>
      <c r="K119" s="1">
        <v>-22.389942</v>
      </c>
      <c r="L119" s="1">
        <v>-41.765027</v>
      </c>
      <c r="M119" s="1">
        <v>2.0</v>
      </c>
      <c r="Q119" s="1">
        <f t="shared" si="1"/>
        <v>1783</v>
      </c>
    </row>
    <row r="120" ht="15.75" customHeight="1">
      <c r="A120" s="1" t="s">
        <v>403</v>
      </c>
      <c r="B120" s="2">
        <v>45900.0</v>
      </c>
      <c r="C120" s="1" t="s">
        <v>119</v>
      </c>
      <c r="D120" s="1" t="s">
        <v>404</v>
      </c>
      <c r="E120" s="1" t="s">
        <v>121</v>
      </c>
      <c r="F120" s="1">
        <v>7364.0</v>
      </c>
      <c r="G120" s="1" t="s">
        <v>405</v>
      </c>
      <c r="H120" s="1">
        <v>12034.0</v>
      </c>
      <c r="I120" s="1" t="s">
        <v>21</v>
      </c>
      <c r="J120" s="1" t="s">
        <v>80</v>
      </c>
      <c r="K120" s="1">
        <v>-22.392963</v>
      </c>
      <c r="L120" s="1">
        <v>-41.717086</v>
      </c>
      <c r="M120" s="1">
        <v>1.0</v>
      </c>
      <c r="Q120" s="1">
        <f t="shared" si="1"/>
        <v>0</v>
      </c>
    </row>
    <row r="121" ht="15.75" customHeight="1">
      <c r="A121" s="1" t="s">
        <v>406</v>
      </c>
      <c r="B121" s="2">
        <v>46094.0</v>
      </c>
      <c r="C121" s="1" t="s">
        <v>407</v>
      </c>
      <c r="D121" s="1" t="s">
        <v>408</v>
      </c>
      <c r="E121" s="1" t="s">
        <v>210</v>
      </c>
      <c r="F121" s="1">
        <v>1588.0</v>
      </c>
      <c r="G121" s="1" t="s">
        <v>409</v>
      </c>
      <c r="H121" s="1">
        <v>2724.0</v>
      </c>
      <c r="I121" s="1" t="s">
        <v>21</v>
      </c>
      <c r="J121" s="1" t="s">
        <v>28</v>
      </c>
      <c r="K121" s="1">
        <v>-22.447531</v>
      </c>
      <c r="L121" s="1">
        <v>-41.739303</v>
      </c>
      <c r="M121" s="1">
        <v>2.0</v>
      </c>
      <c r="Q121" s="1">
        <f t="shared" si="1"/>
        <v>0</v>
      </c>
    </row>
    <row r="122" ht="15.75" customHeight="1">
      <c r="A122" s="1" t="s">
        <v>410</v>
      </c>
      <c r="B122" s="2">
        <v>46139.0</v>
      </c>
      <c r="C122" s="1" t="s">
        <v>268</v>
      </c>
      <c r="D122" s="1" t="s">
        <v>408</v>
      </c>
      <c r="E122" s="1" t="s">
        <v>136</v>
      </c>
      <c r="F122" s="1">
        <v>1588.0</v>
      </c>
      <c r="G122" s="1" t="s">
        <v>411</v>
      </c>
      <c r="H122" s="1">
        <v>15981.0</v>
      </c>
      <c r="I122" s="1" t="s">
        <v>198</v>
      </c>
      <c r="J122" s="1" t="s">
        <v>40</v>
      </c>
      <c r="K122" s="1">
        <v>-22.433969</v>
      </c>
      <c r="L122" s="1">
        <v>-41.795539</v>
      </c>
      <c r="M122" s="1">
        <v>2.0</v>
      </c>
      <c r="Q122" s="1">
        <f t="shared" si="1"/>
        <v>15981</v>
      </c>
    </row>
    <row r="123" ht="15.75" customHeight="1">
      <c r="A123" s="1" t="s">
        <v>412</v>
      </c>
      <c r="B123" s="2">
        <v>45874.0</v>
      </c>
      <c r="C123" s="1" t="s">
        <v>161</v>
      </c>
      <c r="D123" s="1" t="s">
        <v>408</v>
      </c>
      <c r="E123" s="1" t="s">
        <v>163</v>
      </c>
      <c r="F123" s="1">
        <v>2059.0</v>
      </c>
      <c r="G123" s="1" t="s">
        <v>413</v>
      </c>
      <c r="H123" s="1">
        <v>7229.0</v>
      </c>
      <c r="I123" s="1" t="s">
        <v>21</v>
      </c>
      <c r="J123" s="1" t="s">
        <v>80</v>
      </c>
      <c r="K123" s="1">
        <v>-22.356006</v>
      </c>
      <c r="L123" s="1">
        <v>-41.762116</v>
      </c>
      <c r="M123" s="1">
        <v>2.0</v>
      </c>
      <c r="Q123" s="1">
        <f t="shared" si="1"/>
        <v>0</v>
      </c>
    </row>
    <row r="124" ht="15.75" customHeight="1">
      <c r="A124" s="1" t="s">
        <v>414</v>
      </c>
      <c r="B124" s="2">
        <v>46048.0</v>
      </c>
      <c r="C124" s="1" t="s">
        <v>57</v>
      </c>
      <c r="D124" s="1" t="s">
        <v>408</v>
      </c>
      <c r="E124" s="1" t="s">
        <v>59</v>
      </c>
      <c r="F124" s="1">
        <v>1790.0</v>
      </c>
      <c r="G124" s="1" t="s">
        <v>163</v>
      </c>
      <c r="H124" s="1">
        <v>3849.0</v>
      </c>
      <c r="I124" s="1" t="s">
        <v>21</v>
      </c>
      <c r="J124" s="1" t="s">
        <v>22</v>
      </c>
      <c r="K124" s="1">
        <v>-22.354137</v>
      </c>
      <c r="L124" s="1">
        <v>-41.700768</v>
      </c>
      <c r="M124" s="1">
        <v>0.0</v>
      </c>
      <c r="Q124" s="1">
        <f t="shared" si="1"/>
        <v>0</v>
      </c>
    </row>
    <row r="125" ht="15.75" customHeight="1">
      <c r="A125" s="1" t="s">
        <v>415</v>
      </c>
      <c r="B125" s="2">
        <v>46086.0</v>
      </c>
      <c r="C125" s="1" t="s">
        <v>416</v>
      </c>
      <c r="D125" s="1" t="s">
        <v>408</v>
      </c>
      <c r="E125" s="1" t="s">
        <v>115</v>
      </c>
      <c r="F125" s="1">
        <v>5506.0</v>
      </c>
      <c r="G125" s="1" t="s">
        <v>417</v>
      </c>
      <c r="H125" s="1">
        <v>10867.0</v>
      </c>
      <c r="I125" s="1" t="s">
        <v>21</v>
      </c>
      <c r="J125" s="1" t="s">
        <v>22</v>
      </c>
      <c r="K125" s="1">
        <v>-22.36524</v>
      </c>
      <c r="L125" s="1">
        <v>-41.747224</v>
      </c>
      <c r="M125" s="1">
        <v>4.0</v>
      </c>
      <c r="Q125" s="1">
        <f t="shared" si="1"/>
        <v>0</v>
      </c>
    </row>
    <row r="126" ht="15.75" customHeight="1">
      <c r="A126" s="1" t="s">
        <v>418</v>
      </c>
      <c r="B126" s="2">
        <v>45982.0</v>
      </c>
      <c r="C126" s="1" t="s">
        <v>419</v>
      </c>
      <c r="D126" s="1" t="s">
        <v>420</v>
      </c>
      <c r="E126" s="1" t="s">
        <v>90</v>
      </c>
      <c r="F126" s="1">
        <v>9435.0</v>
      </c>
      <c r="G126" s="1" t="s">
        <v>421</v>
      </c>
      <c r="H126" s="1">
        <v>10451.0</v>
      </c>
      <c r="I126" s="1" t="s">
        <v>21</v>
      </c>
      <c r="J126" s="1" t="s">
        <v>34</v>
      </c>
      <c r="K126" s="1">
        <v>-22.366399</v>
      </c>
      <c r="L126" s="1">
        <v>-41.770693</v>
      </c>
      <c r="M126" s="1">
        <v>2.0</v>
      </c>
      <c r="Q126" s="1">
        <f t="shared" si="1"/>
        <v>0</v>
      </c>
    </row>
    <row r="127" ht="15.75" customHeight="1">
      <c r="A127" s="1" t="s">
        <v>422</v>
      </c>
      <c r="B127" s="2">
        <v>46124.0</v>
      </c>
      <c r="C127" s="1" t="s">
        <v>293</v>
      </c>
      <c r="D127" s="1" t="s">
        <v>420</v>
      </c>
      <c r="E127" s="1" t="s">
        <v>33</v>
      </c>
      <c r="F127" s="1">
        <v>821.0</v>
      </c>
      <c r="G127" s="1" t="s">
        <v>423</v>
      </c>
      <c r="H127" s="1">
        <v>6501.0</v>
      </c>
      <c r="I127" s="1" t="s">
        <v>21</v>
      </c>
      <c r="J127" s="1" t="s">
        <v>22</v>
      </c>
      <c r="K127" s="1">
        <v>-22.380693</v>
      </c>
      <c r="L127" s="1">
        <v>-41.755499</v>
      </c>
      <c r="M127" s="1">
        <v>2.0</v>
      </c>
      <c r="Q127" s="1">
        <f t="shared" si="1"/>
        <v>0</v>
      </c>
    </row>
    <row r="128" ht="15.75" customHeight="1">
      <c r="A128" s="1" t="s">
        <v>424</v>
      </c>
      <c r="B128" s="2">
        <v>46028.0</v>
      </c>
      <c r="C128" s="1" t="s">
        <v>425</v>
      </c>
      <c r="D128" s="1" t="s">
        <v>420</v>
      </c>
      <c r="E128" s="1" t="s">
        <v>210</v>
      </c>
      <c r="F128" s="1">
        <v>1588.0</v>
      </c>
      <c r="G128" s="1" t="s">
        <v>426</v>
      </c>
      <c r="H128" s="1">
        <v>12159.0</v>
      </c>
      <c r="I128" s="1" t="s">
        <v>21</v>
      </c>
      <c r="J128" s="1" t="s">
        <v>34</v>
      </c>
      <c r="K128" s="1">
        <v>-22.405103</v>
      </c>
      <c r="L128" s="1">
        <v>-41.758115</v>
      </c>
      <c r="M128" s="1">
        <v>3.0</v>
      </c>
      <c r="Q128" s="1">
        <f t="shared" si="1"/>
        <v>0</v>
      </c>
    </row>
    <row r="129" ht="15.75" customHeight="1">
      <c r="A129" s="1" t="s">
        <v>427</v>
      </c>
      <c r="B129" s="2">
        <v>46075.0</v>
      </c>
      <c r="C129" s="1" t="s">
        <v>428</v>
      </c>
      <c r="D129" s="1" t="s">
        <v>429</v>
      </c>
      <c r="E129" s="1" t="s">
        <v>115</v>
      </c>
      <c r="F129" s="1">
        <v>5506.0</v>
      </c>
      <c r="G129" s="1" t="s">
        <v>356</v>
      </c>
      <c r="H129" s="1">
        <v>5506.0</v>
      </c>
      <c r="I129" s="1" t="s">
        <v>21</v>
      </c>
      <c r="J129" s="1" t="s">
        <v>28</v>
      </c>
      <c r="K129" s="1">
        <v>-22.389445</v>
      </c>
      <c r="L129" s="1">
        <v>-41.720414</v>
      </c>
      <c r="M129" s="1">
        <v>4.0</v>
      </c>
      <c r="Q129" s="1">
        <f t="shared" si="1"/>
        <v>0</v>
      </c>
    </row>
    <row r="130" ht="15.75" customHeight="1">
      <c r="A130" s="1" t="s">
        <v>430</v>
      </c>
      <c r="B130" s="2">
        <v>46089.0</v>
      </c>
      <c r="C130" s="1" t="s">
        <v>431</v>
      </c>
      <c r="D130" s="1" t="s">
        <v>429</v>
      </c>
      <c r="E130" s="1" t="s">
        <v>65</v>
      </c>
      <c r="F130" s="1">
        <v>3840.0</v>
      </c>
      <c r="G130" s="1" t="s">
        <v>432</v>
      </c>
      <c r="H130" s="1">
        <v>15787.0</v>
      </c>
      <c r="I130" s="1" t="s">
        <v>198</v>
      </c>
      <c r="J130" s="1" t="s">
        <v>28</v>
      </c>
      <c r="K130" s="1">
        <v>-22.392399</v>
      </c>
      <c r="L130" s="1">
        <v>-41.736737</v>
      </c>
      <c r="M130" s="1">
        <v>4.0</v>
      </c>
      <c r="Q130" s="1">
        <f t="shared" si="1"/>
        <v>15787</v>
      </c>
    </row>
    <row r="131" ht="15.75" customHeight="1">
      <c r="A131" s="1" t="s">
        <v>433</v>
      </c>
      <c r="B131" s="2">
        <v>45828.0</v>
      </c>
      <c r="C131" s="1" t="s">
        <v>434</v>
      </c>
      <c r="D131" s="1" t="s">
        <v>435</v>
      </c>
      <c r="E131" s="1" t="s">
        <v>436</v>
      </c>
      <c r="F131" s="1">
        <v>2975.0</v>
      </c>
      <c r="G131" s="1" t="s">
        <v>45</v>
      </c>
      <c r="H131" s="1">
        <v>6137.0</v>
      </c>
      <c r="I131" s="1" t="s">
        <v>21</v>
      </c>
      <c r="J131" s="1" t="s">
        <v>51</v>
      </c>
      <c r="K131" s="1">
        <v>-22.423662</v>
      </c>
      <c r="L131" s="1">
        <v>-41.744542</v>
      </c>
      <c r="M131" s="1">
        <v>0.0</v>
      </c>
      <c r="Q131" s="1">
        <f t="shared" si="1"/>
        <v>0</v>
      </c>
    </row>
    <row r="132" ht="15.75" customHeight="1">
      <c r="A132" s="1" t="s">
        <v>437</v>
      </c>
      <c r="B132" s="2">
        <v>45682.0</v>
      </c>
      <c r="C132" s="1" t="s">
        <v>438</v>
      </c>
      <c r="D132" s="1" t="s">
        <v>435</v>
      </c>
      <c r="E132" s="1" t="s">
        <v>45</v>
      </c>
      <c r="F132" s="1">
        <v>3162.0</v>
      </c>
      <c r="G132" s="1" t="s">
        <v>439</v>
      </c>
      <c r="H132" s="1">
        <v>6282.0</v>
      </c>
      <c r="I132" s="1" t="s">
        <v>198</v>
      </c>
      <c r="J132" s="1" t="s">
        <v>22</v>
      </c>
      <c r="K132" s="1">
        <v>-22.436762</v>
      </c>
      <c r="L132" s="1">
        <v>-41.713312</v>
      </c>
      <c r="M132" s="1">
        <v>1.0</v>
      </c>
      <c r="Q132" s="1">
        <f t="shared" si="1"/>
        <v>6282</v>
      </c>
    </row>
    <row r="133" ht="15.75" customHeight="1">
      <c r="A133" s="1" t="s">
        <v>440</v>
      </c>
      <c r="B133" s="2">
        <v>46069.0</v>
      </c>
      <c r="C133" s="1" t="s">
        <v>175</v>
      </c>
      <c r="D133" s="1" t="s">
        <v>441</v>
      </c>
      <c r="E133" s="1" t="s">
        <v>177</v>
      </c>
      <c r="F133" s="1">
        <v>3271.0</v>
      </c>
      <c r="G133" s="1" t="s">
        <v>442</v>
      </c>
      <c r="H133" s="1">
        <v>6197.0</v>
      </c>
      <c r="I133" s="1" t="s">
        <v>21</v>
      </c>
      <c r="J133" s="1" t="s">
        <v>34</v>
      </c>
      <c r="K133" s="1">
        <v>-22.378802</v>
      </c>
      <c r="L133" s="1">
        <v>-41.788097</v>
      </c>
      <c r="M133" s="1">
        <v>4.0</v>
      </c>
      <c r="Q133" s="1">
        <f t="shared" si="1"/>
        <v>0</v>
      </c>
    </row>
    <row r="134" ht="15.75" customHeight="1">
      <c r="A134" s="1" t="s">
        <v>443</v>
      </c>
      <c r="B134" s="2">
        <v>45733.0</v>
      </c>
      <c r="C134" s="1" t="s">
        <v>444</v>
      </c>
      <c r="D134" s="1" t="s">
        <v>445</v>
      </c>
      <c r="E134" s="1" t="s">
        <v>65</v>
      </c>
      <c r="F134" s="1">
        <v>3840.0</v>
      </c>
      <c r="G134" s="1" t="s">
        <v>446</v>
      </c>
      <c r="H134" s="1">
        <v>10849.0</v>
      </c>
      <c r="I134" s="1" t="s">
        <v>21</v>
      </c>
      <c r="J134" s="1" t="s">
        <v>205</v>
      </c>
      <c r="K134" s="1">
        <v>-22.358933</v>
      </c>
      <c r="L134" s="1">
        <v>-41.736917</v>
      </c>
      <c r="M134" s="1">
        <v>2.0</v>
      </c>
      <c r="Q134" s="1">
        <f t="shared" si="1"/>
        <v>0</v>
      </c>
    </row>
    <row r="135" ht="15.75" customHeight="1">
      <c r="A135" s="1" t="s">
        <v>447</v>
      </c>
      <c r="B135" s="2">
        <v>45743.0</v>
      </c>
      <c r="C135" s="1" t="s">
        <v>134</v>
      </c>
      <c r="D135" s="1" t="s">
        <v>448</v>
      </c>
      <c r="E135" s="1" t="s">
        <v>130</v>
      </c>
      <c r="F135" s="1">
        <v>13257.0</v>
      </c>
      <c r="G135" s="1" t="s">
        <v>449</v>
      </c>
      <c r="H135" s="1">
        <v>15242.0</v>
      </c>
      <c r="I135" s="1" t="s">
        <v>21</v>
      </c>
      <c r="J135" s="1" t="s">
        <v>40</v>
      </c>
      <c r="K135" s="1">
        <v>-22.390645</v>
      </c>
      <c r="L135" s="1">
        <v>-41.763013</v>
      </c>
      <c r="M135" s="1">
        <v>1.0</v>
      </c>
      <c r="Q135" s="1">
        <f t="shared" si="1"/>
        <v>0</v>
      </c>
    </row>
    <row r="136" ht="15.75" customHeight="1">
      <c r="A136" s="1" t="s">
        <v>450</v>
      </c>
      <c r="B136" s="2">
        <v>45838.0</v>
      </c>
      <c r="C136" s="1" t="s">
        <v>451</v>
      </c>
      <c r="D136" s="1" t="s">
        <v>452</v>
      </c>
      <c r="E136" s="1" t="s">
        <v>256</v>
      </c>
      <c r="F136" s="1">
        <v>2512.0</v>
      </c>
      <c r="G136" s="1" t="s">
        <v>453</v>
      </c>
      <c r="H136" s="1">
        <v>13803.0</v>
      </c>
      <c r="I136" s="1" t="s">
        <v>198</v>
      </c>
      <c r="J136" s="1" t="s">
        <v>86</v>
      </c>
      <c r="K136" s="1">
        <v>-22.355523</v>
      </c>
      <c r="L136" s="1">
        <v>-41.79031</v>
      </c>
      <c r="M136" s="1">
        <v>4.0</v>
      </c>
      <c r="Q136" s="1">
        <f t="shared" si="1"/>
        <v>13803</v>
      </c>
    </row>
    <row r="137" ht="15.75" customHeight="1">
      <c r="A137" s="1" t="s">
        <v>454</v>
      </c>
      <c r="B137" s="2">
        <v>45950.0</v>
      </c>
      <c r="C137" s="1" t="s">
        <v>455</v>
      </c>
      <c r="D137" s="1" t="s">
        <v>452</v>
      </c>
      <c r="E137" s="1" t="s">
        <v>26</v>
      </c>
      <c r="F137" s="1">
        <v>13257.0</v>
      </c>
      <c r="G137" s="1" t="s">
        <v>254</v>
      </c>
      <c r="H137" s="1">
        <v>23828.0</v>
      </c>
      <c r="I137" s="1" t="s">
        <v>198</v>
      </c>
      <c r="J137" s="1" t="s">
        <v>51</v>
      </c>
      <c r="K137" s="1">
        <v>-22.418142</v>
      </c>
      <c r="L137" s="1">
        <v>-41.782158</v>
      </c>
      <c r="M137" s="1">
        <v>2.0</v>
      </c>
      <c r="Q137" s="1">
        <f t="shared" si="1"/>
        <v>23828</v>
      </c>
    </row>
    <row r="138" ht="15.75" customHeight="1">
      <c r="A138" s="1" t="s">
        <v>456</v>
      </c>
      <c r="B138" s="2">
        <v>45942.0</v>
      </c>
      <c r="C138" s="1" t="s">
        <v>457</v>
      </c>
      <c r="D138" s="1" t="s">
        <v>452</v>
      </c>
      <c r="E138" s="1" t="s">
        <v>163</v>
      </c>
      <c r="F138" s="1">
        <v>2059.0</v>
      </c>
      <c r="G138" s="1" t="s">
        <v>290</v>
      </c>
      <c r="H138" s="1">
        <v>3647.0</v>
      </c>
      <c r="I138" s="1" t="s">
        <v>198</v>
      </c>
      <c r="J138" s="1" t="s">
        <v>80</v>
      </c>
      <c r="K138" s="1">
        <v>-22.440053</v>
      </c>
      <c r="L138" s="1">
        <v>-41.771521</v>
      </c>
      <c r="M138" s="1">
        <v>4.0</v>
      </c>
      <c r="Q138" s="1">
        <f t="shared" si="1"/>
        <v>3647</v>
      </c>
    </row>
    <row r="139" ht="15.75" customHeight="1">
      <c r="A139" s="1" t="s">
        <v>458</v>
      </c>
      <c r="B139" s="2">
        <v>46107.0</v>
      </c>
      <c r="C139" s="1" t="s">
        <v>459</v>
      </c>
      <c r="D139" s="1" t="s">
        <v>452</v>
      </c>
      <c r="E139" s="1" t="s">
        <v>344</v>
      </c>
      <c r="F139" s="1">
        <v>2512.0</v>
      </c>
      <c r="G139" s="1" t="s">
        <v>460</v>
      </c>
      <c r="H139" s="1">
        <v>7262.0</v>
      </c>
      <c r="I139" s="1" t="s">
        <v>21</v>
      </c>
      <c r="J139" s="1" t="s">
        <v>28</v>
      </c>
      <c r="K139" s="1">
        <v>-22.421152</v>
      </c>
      <c r="L139" s="1">
        <v>-41.708231</v>
      </c>
      <c r="M139" s="1">
        <v>1.0</v>
      </c>
      <c r="Q139" s="1">
        <f t="shared" si="1"/>
        <v>0</v>
      </c>
    </row>
    <row r="140" ht="15.75" customHeight="1">
      <c r="A140" s="1" t="s">
        <v>461</v>
      </c>
      <c r="B140" s="2">
        <v>45943.0</v>
      </c>
      <c r="C140" s="1" t="s">
        <v>462</v>
      </c>
      <c r="D140" s="1" t="s">
        <v>463</v>
      </c>
      <c r="E140" s="1" t="s">
        <v>95</v>
      </c>
      <c r="F140" s="1">
        <v>1588.0</v>
      </c>
      <c r="G140" s="1" t="s">
        <v>290</v>
      </c>
      <c r="H140" s="1">
        <v>3176.0</v>
      </c>
      <c r="I140" s="1" t="s">
        <v>21</v>
      </c>
      <c r="J140" s="1" t="s">
        <v>22</v>
      </c>
      <c r="K140" s="1">
        <v>-22.429316</v>
      </c>
      <c r="L140" s="1">
        <v>-41.716121</v>
      </c>
      <c r="M140" s="1">
        <v>1.0</v>
      </c>
      <c r="Q140" s="1">
        <f t="shared" si="1"/>
        <v>0</v>
      </c>
    </row>
    <row r="141" ht="15.75" customHeight="1">
      <c r="A141" s="1" t="s">
        <v>464</v>
      </c>
      <c r="B141" s="2">
        <v>45698.0</v>
      </c>
      <c r="C141" s="1" t="s">
        <v>113</v>
      </c>
      <c r="D141" s="1" t="s">
        <v>463</v>
      </c>
      <c r="E141" s="1" t="s">
        <v>69</v>
      </c>
      <c r="F141" s="1">
        <v>4825.0</v>
      </c>
      <c r="G141" s="1" t="s">
        <v>70</v>
      </c>
      <c r="H141" s="1">
        <v>8665.0</v>
      </c>
      <c r="I141" s="1" t="s">
        <v>21</v>
      </c>
      <c r="J141" s="1" t="s">
        <v>34</v>
      </c>
      <c r="K141" s="1">
        <v>-22.449333</v>
      </c>
      <c r="L141" s="1">
        <v>-41.71675</v>
      </c>
      <c r="M141" s="1">
        <v>4.0</v>
      </c>
      <c r="Q141" s="1">
        <f t="shared" si="1"/>
        <v>0</v>
      </c>
    </row>
    <row r="142" ht="15.75" customHeight="1">
      <c r="A142" s="1" t="s">
        <v>465</v>
      </c>
      <c r="B142" s="2">
        <v>46113.0</v>
      </c>
      <c r="C142" s="1" t="s">
        <v>17</v>
      </c>
      <c r="D142" s="1" t="s">
        <v>466</v>
      </c>
      <c r="E142" s="1" t="s">
        <v>19</v>
      </c>
      <c r="F142" s="1">
        <v>1136.0</v>
      </c>
      <c r="G142" s="1" t="s">
        <v>467</v>
      </c>
      <c r="H142" s="1">
        <v>15981.0</v>
      </c>
      <c r="I142" s="1" t="s">
        <v>198</v>
      </c>
      <c r="J142" s="1" t="s">
        <v>28</v>
      </c>
      <c r="K142" s="1">
        <v>-22.366896</v>
      </c>
      <c r="L142" s="1">
        <v>-41.770506</v>
      </c>
      <c r="M142" s="1">
        <v>4.0</v>
      </c>
      <c r="Q142" s="1">
        <f t="shared" si="1"/>
        <v>15981</v>
      </c>
    </row>
    <row r="143" ht="15.75" customHeight="1">
      <c r="A143" s="1" t="s">
        <v>468</v>
      </c>
      <c r="B143" s="2">
        <v>45927.0</v>
      </c>
      <c r="C143" s="1" t="s">
        <v>469</v>
      </c>
      <c r="D143" s="1" t="s">
        <v>470</v>
      </c>
      <c r="E143" s="1" t="s">
        <v>344</v>
      </c>
      <c r="F143" s="1">
        <v>2512.0</v>
      </c>
      <c r="G143" s="1" t="s">
        <v>471</v>
      </c>
      <c r="H143" s="1">
        <v>7635.0</v>
      </c>
      <c r="I143" s="1" t="s">
        <v>198</v>
      </c>
      <c r="J143" s="1" t="s">
        <v>28</v>
      </c>
      <c r="K143" s="1">
        <v>-22.350692</v>
      </c>
      <c r="L143" s="1">
        <v>-41.726837</v>
      </c>
      <c r="M143" s="1">
        <v>0.0</v>
      </c>
      <c r="Q143" s="1">
        <f t="shared" si="1"/>
        <v>7635</v>
      </c>
    </row>
    <row r="144" ht="15.75" customHeight="1">
      <c r="A144" s="1" t="s">
        <v>472</v>
      </c>
      <c r="B144" s="2">
        <v>45734.0</v>
      </c>
      <c r="C144" s="1" t="s">
        <v>469</v>
      </c>
      <c r="D144" s="1" t="s">
        <v>470</v>
      </c>
      <c r="E144" s="1" t="s">
        <v>344</v>
      </c>
      <c r="F144" s="1">
        <v>2512.0</v>
      </c>
      <c r="G144" s="1" t="s">
        <v>473</v>
      </c>
      <c r="H144" s="1">
        <v>12768.0</v>
      </c>
      <c r="I144" s="1" t="s">
        <v>21</v>
      </c>
      <c r="J144" s="1" t="s">
        <v>28</v>
      </c>
      <c r="K144" s="1">
        <v>-22.399294</v>
      </c>
      <c r="L144" s="1">
        <v>-41.772389</v>
      </c>
      <c r="M144" s="1">
        <v>2.0</v>
      </c>
      <c r="Q144" s="1">
        <f t="shared" si="1"/>
        <v>0</v>
      </c>
    </row>
    <row r="145" ht="15.75" customHeight="1">
      <c r="A145" s="1" t="s">
        <v>474</v>
      </c>
      <c r="B145" s="2">
        <v>45697.0</v>
      </c>
      <c r="C145" s="1" t="s">
        <v>475</v>
      </c>
      <c r="D145" s="1" t="s">
        <v>470</v>
      </c>
      <c r="E145" s="1" t="s">
        <v>38</v>
      </c>
      <c r="F145" s="1">
        <v>2975.0</v>
      </c>
      <c r="G145" s="1" t="s">
        <v>476</v>
      </c>
      <c r="H145" s="1">
        <v>19947.0</v>
      </c>
      <c r="I145" s="1" t="s">
        <v>21</v>
      </c>
      <c r="J145" s="1" t="s">
        <v>22</v>
      </c>
      <c r="K145" s="1">
        <v>-22.356763</v>
      </c>
      <c r="L145" s="1">
        <v>-41.72058</v>
      </c>
      <c r="M145" s="1">
        <v>3.0</v>
      </c>
      <c r="Q145" s="1">
        <f t="shared" si="1"/>
        <v>0</v>
      </c>
    </row>
    <row r="146" ht="15.75" customHeight="1">
      <c r="A146" s="1" t="s">
        <v>477</v>
      </c>
      <c r="B146" s="2">
        <v>45694.0</v>
      </c>
      <c r="C146" s="1" t="s">
        <v>478</v>
      </c>
      <c r="D146" s="1" t="s">
        <v>470</v>
      </c>
      <c r="E146" s="1" t="s">
        <v>49</v>
      </c>
      <c r="F146" s="1">
        <v>8020.0</v>
      </c>
      <c r="G146" s="1" t="s">
        <v>115</v>
      </c>
      <c r="H146" s="1">
        <v>13526.0</v>
      </c>
      <c r="I146" s="1" t="s">
        <v>21</v>
      </c>
      <c r="J146" s="1" t="s">
        <v>34</v>
      </c>
      <c r="K146" s="1">
        <v>-22.436313</v>
      </c>
      <c r="L146" s="1">
        <v>-41.762379</v>
      </c>
      <c r="M146" s="1">
        <v>0.0</v>
      </c>
      <c r="Q146" s="1">
        <f t="shared" si="1"/>
        <v>0</v>
      </c>
    </row>
    <row r="147" ht="15.75" customHeight="1">
      <c r="A147" s="1" t="s">
        <v>479</v>
      </c>
      <c r="B147" s="2">
        <v>46154.0</v>
      </c>
      <c r="C147" s="1" t="s">
        <v>289</v>
      </c>
      <c r="D147" s="1" t="s">
        <v>480</v>
      </c>
      <c r="E147" s="1" t="s">
        <v>290</v>
      </c>
      <c r="F147" s="1">
        <v>1588.0</v>
      </c>
      <c r="G147" s="1" t="s">
        <v>481</v>
      </c>
      <c r="H147" s="1">
        <v>4953.0</v>
      </c>
      <c r="I147" s="1" t="s">
        <v>21</v>
      </c>
      <c r="J147" s="1" t="s">
        <v>205</v>
      </c>
      <c r="K147" s="1">
        <v>-22.42174</v>
      </c>
      <c r="L147" s="1">
        <v>-41.780143</v>
      </c>
      <c r="M147" s="1">
        <v>1.0</v>
      </c>
      <c r="Q147" s="1">
        <f t="shared" si="1"/>
        <v>0</v>
      </c>
    </row>
    <row r="148" ht="15.75" customHeight="1">
      <c r="A148" s="1" t="s">
        <v>482</v>
      </c>
      <c r="B148" s="2">
        <v>46160.0</v>
      </c>
      <c r="C148" s="1" t="s">
        <v>483</v>
      </c>
      <c r="D148" s="1" t="s">
        <v>484</v>
      </c>
      <c r="E148" s="1" t="s">
        <v>84</v>
      </c>
      <c r="F148" s="1">
        <v>9435.0</v>
      </c>
      <c r="G148" s="1" t="s">
        <v>485</v>
      </c>
      <c r="H148" s="1">
        <v>14671.0</v>
      </c>
      <c r="I148" s="1" t="s">
        <v>21</v>
      </c>
      <c r="J148" s="1" t="s">
        <v>34</v>
      </c>
      <c r="K148" s="1">
        <v>-22.379001</v>
      </c>
      <c r="L148" s="1">
        <v>-41.796119</v>
      </c>
      <c r="M148" s="1">
        <v>4.0</v>
      </c>
      <c r="Q148" s="1">
        <f t="shared" si="1"/>
        <v>0</v>
      </c>
    </row>
    <row r="149" ht="15.75" customHeight="1">
      <c r="A149" s="1" t="s">
        <v>486</v>
      </c>
      <c r="B149" s="2">
        <v>46015.0</v>
      </c>
      <c r="C149" s="1" t="s">
        <v>487</v>
      </c>
      <c r="D149" s="1" t="s">
        <v>484</v>
      </c>
      <c r="E149" s="1" t="s">
        <v>55</v>
      </c>
      <c r="F149" s="1">
        <v>2409.0</v>
      </c>
      <c r="G149" s="1" t="s">
        <v>488</v>
      </c>
      <c r="H149" s="1">
        <v>7645.0</v>
      </c>
      <c r="I149" s="1" t="s">
        <v>21</v>
      </c>
      <c r="J149" s="1" t="s">
        <v>28</v>
      </c>
      <c r="K149" s="1">
        <v>-22.362211</v>
      </c>
      <c r="L149" s="1">
        <v>-41.715931</v>
      </c>
      <c r="M149" s="1">
        <v>3.0</v>
      </c>
      <c r="Q149" s="1">
        <f t="shared" si="1"/>
        <v>0</v>
      </c>
    </row>
    <row r="150" ht="15.75" customHeight="1">
      <c r="A150" s="1" t="s">
        <v>489</v>
      </c>
      <c r="B150" s="2">
        <v>46150.0</v>
      </c>
      <c r="C150" s="1" t="s">
        <v>490</v>
      </c>
      <c r="D150" s="1" t="s">
        <v>491</v>
      </c>
      <c r="E150" s="1" t="s">
        <v>185</v>
      </c>
      <c r="F150" s="1">
        <v>3162.0</v>
      </c>
      <c r="G150" s="1" t="s">
        <v>492</v>
      </c>
      <c r="H150" s="1">
        <v>8850.0</v>
      </c>
      <c r="I150" s="1" t="s">
        <v>198</v>
      </c>
      <c r="J150" s="1" t="s">
        <v>22</v>
      </c>
      <c r="K150" s="1">
        <v>-22.428107</v>
      </c>
      <c r="L150" s="1">
        <v>-41.703708</v>
      </c>
      <c r="M150" s="1">
        <v>2.0</v>
      </c>
      <c r="Q150" s="1">
        <f t="shared" si="1"/>
        <v>8850</v>
      </c>
    </row>
    <row r="151" ht="15.75" customHeight="1">
      <c r="A151" s="1" t="s">
        <v>493</v>
      </c>
      <c r="B151" s="2">
        <v>46093.0</v>
      </c>
      <c r="C151" s="1" t="s">
        <v>490</v>
      </c>
      <c r="D151" s="1" t="s">
        <v>494</v>
      </c>
      <c r="E151" s="1" t="s">
        <v>185</v>
      </c>
      <c r="F151" s="1">
        <v>3162.0</v>
      </c>
      <c r="G151" s="1" t="s">
        <v>495</v>
      </c>
      <c r="H151" s="1">
        <v>7823.0</v>
      </c>
      <c r="I151" s="1" t="s">
        <v>21</v>
      </c>
      <c r="J151" s="1" t="s">
        <v>28</v>
      </c>
      <c r="K151" s="1">
        <v>-22.403526</v>
      </c>
      <c r="L151" s="1">
        <v>-41.768109</v>
      </c>
      <c r="M151" s="1">
        <v>0.0</v>
      </c>
      <c r="Q151" s="1">
        <f t="shared" si="1"/>
        <v>0</v>
      </c>
    </row>
    <row r="152" ht="15.75" customHeight="1">
      <c r="A152" s="1" t="s">
        <v>496</v>
      </c>
      <c r="B152" s="2">
        <v>46158.0</v>
      </c>
      <c r="C152" s="1" t="s">
        <v>497</v>
      </c>
      <c r="D152" s="1" t="s">
        <v>498</v>
      </c>
      <c r="E152" s="1" t="s">
        <v>344</v>
      </c>
      <c r="F152" s="1">
        <v>2512.0</v>
      </c>
      <c r="G152" s="1" t="s">
        <v>499</v>
      </c>
      <c r="H152" s="1">
        <v>6159.0</v>
      </c>
      <c r="I152" s="1" t="s">
        <v>198</v>
      </c>
      <c r="J152" s="1" t="s">
        <v>51</v>
      </c>
      <c r="K152" s="1">
        <v>-22.381278</v>
      </c>
      <c r="L152" s="1">
        <v>-41.797104</v>
      </c>
      <c r="M152" s="1">
        <v>4.0</v>
      </c>
      <c r="Q152" s="1">
        <f t="shared" si="1"/>
        <v>6159</v>
      </c>
    </row>
    <row r="153" ht="15.75" customHeight="1">
      <c r="A153" s="1" t="s">
        <v>500</v>
      </c>
      <c r="B153" s="2">
        <v>45925.0</v>
      </c>
      <c r="C153" s="1" t="s">
        <v>369</v>
      </c>
      <c r="D153" s="1" t="s">
        <v>498</v>
      </c>
      <c r="E153" s="1" t="s">
        <v>197</v>
      </c>
      <c r="F153" s="1">
        <v>195.0</v>
      </c>
      <c r="G153" s="1" t="s">
        <v>501</v>
      </c>
      <c r="H153" s="1">
        <v>28393.0</v>
      </c>
      <c r="I153" s="1" t="s">
        <v>198</v>
      </c>
      <c r="J153" s="1" t="s">
        <v>51</v>
      </c>
      <c r="K153" s="1">
        <v>-22.410862</v>
      </c>
      <c r="L153" s="1">
        <v>-41.755805</v>
      </c>
      <c r="M153" s="1">
        <v>2.0</v>
      </c>
      <c r="Q153" s="1">
        <f t="shared" si="1"/>
        <v>28393</v>
      </c>
    </row>
    <row r="154" ht="15.75" customHeight="1">
      <c r="A154" s="1" t="s">
        <v>502</v>
      </c>
      <c r="B154" s="2">
        <v>45882.0</v>
      </c>
      <c r="C154" s="1" t="s">
        <v>503</v>
      </c>
      <c r="D154" s="1" t="s">
        <v>498</v>
      </c>
      <c r="E154" s="1" t="s">
        <v>504</v>
      </c>
      <c r="F154" s="1">
        <v>1136.0</v>
      </c>
      <c r="G154" s="1" t="s">
        <v>39</v>
      </c>
      <c r="H154" s="1">
        <v>10766.0</v>
      </c>
      <c r="I154" s="1" t="s">
        <v>198</v>
      </c>
      <c r="J154" s="1" t="s">
        <v>40</v>
      </c>
      <c r="K154" s="1">
        <v>-22.419149</v>
      </c>
      <c r="L154" s="1">
        <v>-41.759019</v>
      </c>
      <c r="M154" s="1">
        <v>2.0</v>
      </c>
      <c r="Q154" s="1">
        <f t="shared" si="1"/>
        <v>10766</v>
      </c>
    </row>
    <row r="155" ht="15.75" customHeight="1">
      <c r="A155" s="1" t="s">
        <v>505</v>
      </c>
      <c r="B155" s="2">
        <v>45770.0</v>
      </c>
      <c r="C155" s="1" t="s">
        <v>506</v>
      </c>
      <c r="D155" s="1" t="s">
        <v>507</v>
      </c>
      <c r="E155" s="1" t="s">
        <v>115</v>
      </c>
      <c r="F155" s="1">
        <v>5506.0</v>
      </c>
      <c r="G155" s="1" t="s">
        <v>356</v>
      </c>
      <c r="H155" s="1">
        <v>5506.0</v>
      </c>
      <c r="I155" s="1" t="s">
        <v>21</v>
      </c>
      <c r="J155" s="1" t="s">
        <v>80</v>
      </c>
      <c r="K155" s="1">
        <v>-22.437078</v>
      </c>
      <c r="L155" s="1">
        <v>-41.746023</v>
      </c>
      <c r="M155" s="1">
        <v>4.0</v>
      </c>
      <c r="Q155" s="1">
        <f t="shared" si="1"/>
        <v>0</v>
      </c>
    </row>
    <row r="156" ht="15.75" customHeight="1">
      <c r="A156" s="1" t="s">
        <v>508</v>
      </c>
      <c r="B156" s="2">
        <v>45722.0</v>
      </c>
      <c r="C156" s="1" t="s">
        <v>509</v>
      </c>
      <c r="D156" s="1" t="s">
        <v>507</v>
      </c>
      <c r="E156" s="1" t="s">
        <v>19</v>
      </c>
      <c r="F156" s="1">
        <v>1136.0</v>
      </c>
      <c r="G156" s="1" t="s">
        <v>510</v>
      </c>
      <c r="H156" s="1">
        <v>2466.0</v>
      </c>
      <c r="I156" s="1" t="s">
        <v>198</v>
      </c>
      <c r="J156" s="1" t="s">
        <v>34</v>
      </c>
      <c r="K156" s="1">
        <v>-22.41379</v>
      </c>
      <c r="L156" s="1">
        <v>-41.780156</v>
      </c>
      <c r="M156" s="1">
        <v>0.0</v>
      </c>
      <c r="Q156" s="1">
        <f t="shared" si="1"/>
        <v>2466</v>
      </c>
    </row>
    <row r="157" ht="15.75" customHeight="1">
      <c r="A157" s="1" t="s">
        <v>511</v>
      </c>
      <c r="B157" s="2">
        <v>45823.0</v>
      </c>
      <c r="C157" s="1" t="s">
        <v>512</v>
      </c>
      <c r="D157" s="1" t="s">
        <v>507</v>
      </c>
      <c r="E157" s="1" t="s">
        <v>69</v>
      </c>
      <c r="F157" s="1">
        <v>4825.0</v>
      </c>
      <c r="G157" s="1" t="s">
        <v>513</v>
      </c>
      <c r="H157" s="1">
        <v>20491.0</v>
      </c>
      <c r="I157" s="1" t="s">
        <v>21</v>
      </c>
      <c r="J157" s="1" t="s">
        <v>80</v>
      </c>
      <c r="K157" s="1">
        <v>-22.40866</v>
      </c>
      <c r="L157" s="1">
        <v>-41.744705</v>
      </c>
      <c r="M157" s="1">
        <v>2.0</v>
      </c>
      <c r="Q157" s="1">
        <f t="shared" si="1"/>
        <v>0</v>
      </c>
    </row>
    <row r="158" ht="15.75" customHeight="1">
      <c r="A158" s="1" t="s">
        <v>514</v>
      </c>
      <c r="B158" s="2">
        <v>45678.0</v>
      </c>
      <c r="C158" s="1" t="s">
        <v>293</v>
      </c>
      <c r="D158" s="1" t="s">
        <v>507</v>
      </c>
      <c r="E158" s="1" t="s">
        <v>33</v>
      </c>
      <c r="F158" s="1">
        <v>821.0</v>
      </c>
      <c r="G158" s="1" t="s">
        <v>297</v>
      </c>
      <c r="H158" s="1">
        <v>1957.0</v>
      </c>
      <c r="I158" s="1" t="s">
        <v>21</v>
      </c>
      <c r="J158" s="1" t="s">
        <v>22</v>
      </c>
      <c r="K158" s="1">
        <v>-22.39985</v>
      </c>
      <c r="L158" s="1">
        <v>-41.720866</v>
      </c>
      <c r="M158" s="1">
        <v>4.0</v>
      </c>
      <c r="Q158" s="1">
        <f t="shared" si="1"/>
        <v>0</v>
      </c>
    </row>
    <row r="159" ht="15.75" customHeight="1">
      <c r="A159" s="1" t="s">
        <v>515</v>
      </c>
      <c r="B159" s="2">
        <v>45682.0</v>
      </c>
      <c r="C159" s="1" t="s">
        <v>516</v>
      </c>
      <c r="D159" s="1" t="s">
        <v>517</v>
      </c>
      <c r="E159" s="1" t="s">
        <v>297</v>
      </c>
      <c r="F159" s="1">
        <v>1136.0</v>
      </c>
      <c r="G159" s="1" t="s">
        <v>26</v>
      </c>
      <c r="H159" s="1">
        <v>14393.0</v>
      </c>
      <c r="I159" s="1" t="s">
        <v>198</v>
      </c>
      <c r="J159" s="1" t="s">
        <v>34</v>
      </c>
      <c r="K159" s="1">
        <v>-22.446622</v>
      </c>
      <c r="L159" s="1">
        <v>-41.725008</v>
      </c>
      <c r="M159" s="1">
        <v>1.0</v>
      </c>
      <c r="Q159" s="1">
        <f t="shared" si="1"/>
        <v>14393</v>
      </c>
    </row>
    <row r="160" ht="15.75" customHeight="1">
      <c r="A160" s="1" t="s">
        <v>518</v>
      </c>
      <c r="B160" s="2">
        <v>45736.0</v>
      </c>
      <c r="C160" s="1" t="s">
        <v>519</v>
      </c>
      <c r="D160" s="1" t="s">
        <v>517</v>
      </c>
      <c r="E160" s="1" t="s">
        <v>177</v>
      </c>
      <c r="F160" s="1">
        <v>3271.0</v>
      </c>
      <c r="G160" s="1" t="s">
        <v>520</v>
      </c>
      <c r="H160" s="1">
        <v>6844.0</v>
      </c>
      <c r="I160" s="1" t="s">
        <v>21</v>
      </c>
      <c r="J160" s="1" t="s">
        <v>51</v>
      </c>
      <c r="K160" s="1">
        <v>-22.447985</v>
      </c>
      <c r="L160" s="1">
        <v>-41.725735</v>
      </c>
      <c r="M160" s="1">
        <v>0.0</v>
      </c>
      <c r="Q160" s="1">
        <f t="shared" si="1"/>
        <v>0</v>
      </c>
    </row>
    <row r="161" ht="15.75" customHeight="1">
      <c r="A161" s="1" t="s">
        <v>521</v>
      </c>
      <c r="B161" s="2">
        <v>46058.0</v>
      </c>
      <c r="C161" s="1" t="s">
        <v>522</v>
      </c>
      <c r="D161" s="1" t="s">
        <v>517</v>
      </c>
      <c r="E161" s="1" t="s">
        <v>356</v>
      </c>
      <c r="F161" s="1">
        <v>0.0</v>
      </c>
      <c r="G161" s="1" t="s">
        <v>523</v>
      </c>
      <c r="H161" s="1">
        <v>3841.0</v>
      </c>
      <c r="I161" s="1" t="s">
        <v>21</v>
      </c>
      <c r="J161" s="1" t="s">
        <v>86</v>
      </c>
      <c r="K161" s="1">
        <v>-22.371523</v>
      </c>
      <c r="L161" s="1">
        <v>-41.757485</v>
      </c>
      <c r="M161" s="1">
        <v>1.0</v>
      </c>
      <c r="Q161" s="1">
        <f t="shared" si="1"/>
        <v>0</v>
      </c>
    </row>
    <row r="162" ht="15.75" customHeight="1">
      <c r="A162" s="1" t="s">
        <v>524</v>
      </c>
      <c r="B162" s="2">
        <v>45760.0</v>
      </c>
      <c r="C162" s="1" t="s">
        <v>525</v>
      </c>
      <c r="D162" s="1" t="s">
        <v>526</v>
      </c>
      <c r="E162" s="1" t="s">
        <v>19</v>
      </c>
      <c r="F162" s="1">
        <v>1136.0</v>
      </c>
      <c r="G162" s="1" t="s">
        <v>527</v>
      </c>
      <c r="H162" s="1">
        <v>7460.0</v>
      </c>
      <c r="I162" s="1" t="s">
        <v>21</v>
      </c>
      <c r="J162" s="1" t="s">
        <v>205</v>
      </c>
      <c r="K162" s="1">
        <v>-22.412342</v>
      </c>
      <c r="L162" s="1">
        <v>-41.757047</v>
      </c>
      <c r="M162" s="1">
        <v>2.0</v>
      </c>
      <c r="Q162" s="1">
        <f t="shared" si="1"/>
        <v>0</v>
      </c>
    </row>
    <row r="163" ht="15.75" customHeight="1">
      <c r="A163" s="1" t="s">
        <v>528</v>
      </c>
      <c r="B163" s="2">
        <v>45949.0</v>
      </c>
      <c r="C163" s="1" t="s">
        <v>529</v>
      </c>
      <c r="D163" s="1" t="s">
        <v>526</v>
      </c>
      <c r="E163" s="1" t="s">
        <v>290</v>
      </c>
      <c r="F163" s="1">
        <v>1588.0</v>
      </c>
      <c r="G163" s="1" t="s">
        <v>530</v>
      </c>
      <c r="H163" s="1">
        <v>10256.0</v>
      </c>
      <c r="I163" s="1" t="s">
        <v>198</v>
      </c>
      <c r="J163" s="1" t="s">
        <v>34</v>
      </c>
      <c r="K163" s="1">
        <v>-22.411759</v>
      </c>
      <c r="L163" s="1">
        <v>-41.700685</v>
      </c>
      <c r="M163" s="1">
        <v>4.0</v>
      </c>
      <c r="Q163" s="1">
        <f t="shared" si="1"/>
        <v>10256</v>
      </c>
    </row>
    <row r="164" ht="15.75" customHeight="1">
      <c r="A164" s="1" t="s">
        <v>531</v>
      </c>
      <c r="B164" s="2">
        <v>45887.0</v>
      </c>
      <c r="C164" s="1" t="s">
        <v>503</v>
      </c>
      <c r="D164" s="1" t="s">
        <v>532</v>
      </c>
      <c r="E164" s="1" t="s">
        <v>504</v>
      </c>
      <c r="F164" s="1">
        <v>1136.0</v>
      </c>
      <c r="G164" s="1" t="s">
        <v>533</v>
      </c>
      <c r="H164" s="1">
        <v>2389.0</v>
      </c>
      <c r="I164" s="1" t="s">
        <v>198</v>
      </c>
      <c r="J164" s="1" t="s">
        <v>40</v>
      </c>
      <c r="K164" s="1">
        <v>-22.410265</v>
      </c>
      <c r="L164" s="1">
        <v>-41.776788</v>
      </c>
      <c r="M164" s="1">
        <v>4.0</v>
      </c>
      <c r="Q164" s="1">
        <f t="shared" si="1"/>
        <v>2389</v>
      </c>
    </row>
    <row r="165" ht="15.75" customHeight="1">
      <c r="A165" s="1" t="s">
        <v>534</v>
      </c>
      <c r="B165" s="2">
        <v>45998.0</v>
      </c>
      <c r="C165" s="1" t="s">
        <v>268</v>
      </c>
      <c r="D165" s="1" t="s">
        <v>532</v>
      </c>
      <c r="E165" s="1" t="s">
        <v>136</v>
      </c>
      <c r="F165" s="1">
        <v>1588.0</v>
      </c>
      <c r="G165" s="1" t="s">
        <v>535</v>
      </c>
      <c r="H165" s="1">
        <v>3572.0</v>
      </c>
      <c r="I165" s="1" t="s">
        <v>198</v>
      </c>
      <c r="J165" s="1" t="s">
        <v>22</v>
      </c>
      <c r="K165" s="1">
        <v>-22.440461</v>
      </c>
      <c r="L165" s="1">
        <v>-41.783074</v>
      </c>
      <c r="M165" s="1">
        <v>1.0</v>
      </c>
      <c r="Q165" s="1">
        <f t="shared" si="1"/>
        <v>3572</v>
      </c>
    </row>
    <row r="166" ht="15.75" customHeight="1">
      <c r="A166" s="1" t="s">
        <v>536</v>
      </c>
      <c r="B166" s="2">
        <v>46142.0</v>
      </c>
      <c r="C166" s="1" t="s">
        <v>372</v>
      </c>
      <c r="D166" s="1" t="s">
        <v>537</v>
      </c>
      <c r="E166" s="1" t="s">
        <v>78</v>
      </c>
      <c r="F166" s="1">
        <v>195.0</v>
      </c>
      <c r="G166" s="1" t="s">
        <v>538</v>
      </c>
      <c r="H166" s="1">
        <v>12510.0</v>
      </c>
      <c r="I166" s="1" t="s">
        <v>198</v>
      </c>
      <c r="J166" s="1" t="s">
        <v>34</v>
      </c>
      <c r="K166" s="1">
        <v>-22.444107</v>
      </c>
      <c r="L166" s="1">
        <v>-41.750658</v>
      </c>
      <c r="M166" s="1">
        <v>4.0</v>
      </c>
      <c r="Q166" s="1">
        <f t="shared" si="1"/>
        <v>12510</v>
      </c>
    </row>
    <row r="167" ht="15.75" customHeight="1">
      <c r="A167" s="1" t="s">
        <v>539</v>
      </c>
      <c r="B167" s="2">
        <v>45987.0</v>
      </c>
      <c r="C167" s="1" t="s">
        <v>540</v>
      </c>
      <c r="D167" s="1" t="s">
        <v>541</v>
      </c>
      <c r="E167" s="1" t="s">
        <v>210</v>
      </c>
      <c r="F167" s="1">
        <v>1588.0</v>
      </c>
      <c r="G167" s="1" t="s">
        <v>542</v>
      </c>
      <c r="H167" s="1">
        <v>7487.0</v>
      </c>
      <c r="I167" s="1" t="s">
        <v>21</v>
      </c>
      <c r="J167" s="1" t="s">
        <v>51</v>
      </c>
      <c r="K167" s="1">
        <v>-22.362857</v>
      </c>
      <c r="L167" s="1">
        <v>-41.773186</v>
      </c>
      <c r="M167" s="1">
        <v>4.0</v>
      </c>
      <c r="Q167" s="1">
        <f t="shared" si="1"/>
        <v>0</v>
      </c>
    </row>
    <row r="168" ht="15.75" customHeight="1">
      <c r="A168" s="1" t="s">
        <v>543</v>
      </c>
      <c r="B168" s="2">
        <v>45899.0</v>
      </c>
      <c r="C168" s="1" t="s">
        <v>544</v>
      </c>
      <c r="D168" s="1" t="s">
        <v>545</v>
      </c>
      <c r="E168" s="1" t="s">
        <v>44</v>
      </c>
      <c r="F168" s="1">
        <v>5506.0</v>
      </c>
      <c r="G168" s="1" t="s">
        <v>546</v>
      </c>
      <c r="H168" s="1">
        <v>11993.0</v>
      </c>
      <c r="I168" s="1" t="s">
        <v>21</v>
      </c>
      <c r="J168" s="1" t="s">
        <v>205</v>
      </c>
      <c r="K168" s="1">
        <v>-22.379113</v>
      </c>
      <c r="L168" s="1">
        <v>-41.748557</v>
      </c>
      <c r="M168" s="1">
        <v>2.0</v>
      </c>
      <c r="Q168" s="1">
        <f t="shared" si="1"/>
        <v>0</v>
      </c>
    </row>
    <row r="169" ht="15.75" customHeight="1">
      <c r="A169" s="1" t="s">
        <v>547</v>
      </c>
      <c r="B169" s="2">
        <v>46042.0</v>
      </c>
      <c r="C169" s="1" t="s">
        <v>548</v>
      </c>
      <c r="D169" s="1" t="s">
        <v>545</v>
      </c>
      <c r="E169" s="1" t="s">
        <v>84</v>
      </c>
      <c r="F169" s="1">
        <v>9435.0</v>
      </c>
      <c r="G169" s="1" t="s">
        <v>392</v>
      </c>
      <c r="H169" s="1">
        <v>11947.0</v>
      </c>
      <c r="I169" s="1" t="s">
        <v>21</v>
      </c>
      <c r="J169" s="1" t="s">
        <v>40</v>
      </c>
      <c r="K169" s="1">
        <v>-22.433791</v>
      </c>
      <c r="L169" s="1">
        <v>-41.725185</v>
      </c>
      <c r="M169" s="1">
        <v>1.0</v>
      </c>
      <c r="Q169" s="1">
        <f t="shared" si="1"/>
        <v>0</v>
      </c>
    </row>
    <row r="170" ht="15.75" customHeight="1">
      <c r="A170" s="1" t="s">
        <v>549</v>
      </c>
      <c r="B170" s="2">
        <v>45697.0</v>
      </c>
      <c r="C170" s="1" t="s">
        <v>113</v>
      </c>
      <c r="D170" s="1" t="s">
        <v>545</v>
      </c>
      <c r="E170" s="1" t="s">
        <v>69</v>
      </c>
      <c r="F170" s="1">
        <v>4825.0</v>
      </c>
      <c r="G170" s="1" t="s">
        <v>315</v>
      </c>
      <c r="H170" s="1">
        <v>5646.0</v>
      </c>
      <c r="I170" s="1" t="s">
        <v>21</v>
      </c>
      <c r="J170" s="1" t="s">
        <v>205</v>
      </c>
      <c r="K170" s="1">
        <v>-22.432928</v>
      </c>
      <c r="L170" s="1">
        <v>-41.719685</v>
      </c>
      <c r="M170" s="1">
        <v>3.0</v>
      </c>
      <c r="Q170" s="1">
        <f t="shared" si="1"/>
        <v>0</v>
      </c>
    </row>
    <row r="171" ht="15.75" customHeight="1">
      <c r="A171" s="1" t="s">
        <v>550</v>
      </c>
      <c r="B171" s="2">
        <v>46066.0</v>
      </c>
      <c r="C171" s="1" t="s">
        <v>551</v>
      </c>
      <c r="D171" s="1" t="s">
        <v>545</v>
      </c>
      <c r="E171" s="1" t="s">
        <v>78</v>
      </c>
      <c r="F171" s="1">
        <v>195.0</v>
      </c>
      <c r="G171" s="1" t="s">
        <v>115</v>
      </c>
      <c r="H171" s="1">
        <v>5701.0</v>
      </c>
      <c r="I171" s="1" t="s">
        <v>198</v>
      </c>
      <c r="J171" s="1" t="s">
        <v>86</v>
      </c>
      <c r="K171" s="1">
        <v>-22.438242</v>
      </c>
      <c r="L171" s="1">
        <v>-41.700426</v>
      </c>
      <c r="M171" s="1">
        <v>0.0</v>
      </c>
      <c r="Q171" s="1">
        <f t="shared" si="1"/>
        <v>5701</v>
      </c>
    </row>
    <row r="172" ht="15.75" customHeight="1">
      <c r="A172" s="1" t="s">
        <v>552</v>
      </c>
      <c r="B172" s="2">
        <v>45802.0</v>
      </c>
      <c r="C172" s="1" t="s">
        <v>369</v>
      </c>
      <c r="D172" s="1" t="s">
        <v>545</v>
      </c>
      <c r="E172" s="1" t="s">
        <v>197</v>
      </c>
      <c r="F172" s="1">
        <v>195.0</v>
      </c>
      <c r="G172" s="1" t="s">
        <v>553</v>
      </c>
      <c r="H172" s="1">
        <v>10281.0</v>
      </c>
      <c r="I172" s="1" t="s">
        <v>21</v>
      </c>
      <c r="J172" s="1" t="s">
        <v>34</v>
      </c>
      <c r="K172" s="1">
        <v>-22.369719</v>
      </c>
      <c r="L172" s="1">
        <v>-41.7048</v>
      </c>
      <c r="M172" s="1">
        <v>2.0</v>
      </c>
      <c r="Q172" s="1">
        <f t="shared" si="1"/>
        <v>0</v>
      </c>
    </row>
    <row r="173" ht="15.75" customHeight="1">
      <c r="A173" s="1" t="s">
        <v>554</v>
      </c>
      <c r="B173" s="2">
        <v>45873.0</v>
      </c>
      <c r="C173" s="1" t="s">
        <v>555</v>
      </c>
      <c r="D173" s="1" t="s">
        <v>545</v>
      </c>
      <c r="E173" s="1" t="s">
        <v>136</v>
      </c>
      <c r="F173" s="1">
        <v>1588.0</v>
      </c>
      <c r="G173" s="1" t="s">
        <v>556</v>
      </c>
      <c r="H173" s="1">
        <v>8032.0</v>
      </c>
      <c r="I173" s="1" t="s">
        <v>198</v>
      </c>
      <c r="J173" s="1" t="s">
        <v>28</v>
      </c>
      <c r="K173" s="1">
        <v>-22.433576</v>
      </c>
      <c r="L173" s="1">
        <v>-41.728492</v>
      </c>
      <c r="M173" s="1">
        <v>2.0</v>
      </c>
      <c r="Q173" s="1">
        <f t="shared" si="1"/>
        <v>8032</v>
      </c>
    </row>
    <row r="174" ht="15.75" customHeight="1">
      <c r="A174" s="1" t="s">
        <v>557</v>
      </c>
      <c r="B174" s="2">
        <v>46084.0</v>
      </c>
      <c r="C174" s="1" t="s">
        <v>558</v>
      </c>
      <c r="D174" s="1" t="s">
        <v>545</v>
      </c>
      <c r="E174" s="1" t="s">
        <v>45</v>
      </c>
      <c r="F174" s="1">
        <v>3162.0</v>
      </c>
      <c r="G174" s="1" t="s">
        <v>49</v>
      </c>
      <c r="H174" s="1">
        <v>11182.0</v>
      </c>
      <c r="I174" s="1" t="s">
        <v>21</v>
      </c>
      <c r="J174" s="1" t="s">
        <v>28</v>
      </c>
      <c r="K174" s="1">
        <v>-22.402951</v>
      </c>
      <c r="L174" s="1">
        <v>-41.700669</v>
      </c>
      <c r="M174" s="1">
        <v>1.0</v>
      </c>
      <c r="Q174" s="1">
        <f t="shared" si="1"/>
        <v>0</v>
      </c>
    </row>
    <row r="175" ht="15.75" customHeight="1">
      <c r="A175" s="1" t="s">
        <v>559</v>
      </c>
      <c r="B175" s="2">
        <v>46127.0</v>
      </c>
      <c r="C175" s="1" t="s">
        <v>102</v>
      </c>
      <c r="D175" s="1" t="s">
        <v>545</v>
      </c>
      <c r="E175" s="1" t="s">
        <v>104</v>
      </c>
      <c r="F175" s="1">
        <v>1136.0</v>
      </c>
      <c r="G175" s="1" t="s">
        <v>560</v>
      </c>
      <c r="H175" s="1">
        <v>9154.0</v>
      </c>
      <c r="I175" s="1" t="s">
        <v>21</v>
      </c>
      <c r="J175" s="1" t="s">
        <v>22</v>
      </c>
      <c r="K175" s="1">
        <v>-22.443889</v>
      </c>
      <c r="L175" s="1">
        <v>-41.753131</v>
      </c>
      <c r="M175" s="1">
        <v>2.0</v>
      </c>
      <c r="Q175" s="1">
        <f t="shared" si="1"/>
        <v>0</v>
      </c>
    </row>
    <row r="176" ht="15.75" customHeight="1">
      <c r="A176" s="1" t="s">
        <v>561</v>
      </c>
      <c r="B176" s="2">
        <v>46011.0</v>
      </c>
      <c r="C176" s="1" t="s">
        <v>113</v>
      </c>
      <c r="D176" s="1" t="s">
        <v>545</v>
      </c>
      <c r="E176" s="1" t="s">
        <v>69</v>
      </c>
      <c r="F176" s="1">
        <v>4825.0</v>
      </c>
      <c r="G176" s="1" t="s">
        <v>136</v>
      </c>
      <c r="H176" s="1">
        <v>6413.0</v>
      </c>
      <c r="I176" s="1" t="s">
        <v>21</v>
      </c>
      <c r="J176" s="1" t="s">
        <v>34</v>
      </c>
      <c r="K176" s="1">
        <v>-22.422542</v>
      </c>
      <c r="L176" s="1">
        <v>-41.717925</v>
      </c>
      <c r="M176" s="1">
        <v>0.0</v>
      </c>
      <c r="Q176" s="1">
        <f t="shared" si="1"/>
        <v>0</v>
      </c>
    </row>
    <row r="177" ht="15.75" customHeight="1">
      <c r="A177" s="1" t="s">
        <v>562</v>
      </c>
      <c r="B177" s="2">
        <v>45918.0</v>
      </c>
      <c r="C177" s="1" t="s">
        <v>563</v>
      </c>
      <c r="D177" s="1" t="s">
        <v>564</v>
      </c>
      <c r="E177" s="1" t="s">
        <v>130</v>
      </c>
      <c r="F177" s="1">
        <v>13257.0</v>
      </c>
      <c r="G177" s="1" t="s">
        <v>565</v>
      </c>
      <c r="H177" s="1">
        <v>31077.0</v>
      </c>
      <c r="I177" s="1" t="s">
        <v>198</v>
      </c>
      <c r="J177" s="1" t="s">
        <v>34</v>
      </c>
      <c r="K177" s="1">
        <v>-22.442252</v>
      </c>
      <c r="L177" s="1">
        <v>-41.784758</v>
      </c>
      <c r="M177" s="1">
        <v>4.0</v>
      </c>
      <c r="Q177" s="1">
        <f t="shared" si="1"/>
        <v>31077</v>
      </c>
    </row>
    <row r="178" ht="15.75" customHeight="1">
      <c r="A178" s="1" t="s">
        <v>566</v>
      </c>
      <c r="B178" s="2">
        <v>45787.0</v>
      </c>
      <c r="C178" s="1" t="s">
        <v>567</v>
      </c>
      <c r="D178" s="1" t="s">
        <v>564</v>
      </c>
      <c r="E178" s="1" t="s">
        <v>44</v>
      </c>
      <c r="F178" s="1">
        <v>5506.0</v>
      </c>
      <c r="G178" s="1" t="s">
        <v>568</v>
      </c>
      <c r="H178" s="1">
        <v>8157.0</v>
      </c>
      <c r="I178" s="1" t="s">
        <v>21</v>
      </c>
      <c r="J178" s="1" t="s">
        <v>51</v>
      </c>
      <c r="K178" s="1">
        <v>-22.416984</v>
      </c>
      <c r="L178" s="1">
        <v>-41.722802</v>
      </c>
      <c r="M178" s="1">
        <v>4.0</v>
      </c>
      <c r="Q178" s="1">
        <f t="shared" si="1"/>
        <v>0</v>
      </c>
    </row>
    <row r="179" ht="15.75" customHeight="1">
      <c r="A179" s="1" t="s">
        <v>569</v>
      </c>
      <c r="B179" s="2">
        <v>45830.0</v>
      </c>
      <c r="C179" s="1" t="s">
        <v>570</v>
      </c>
      <c r="D179" s="1" t="s">
        <v>571</v>
      </c>
      <c r="E179" s="1" t="s">
        <v>59</v>
      </c>
      <c r="F179" s="1">
        <v>1790.0</v>
      </c>
      <c r="G179" s="1" t="s">
        <v>572</v>
      </c>
      <c r="H179" s="1">
        <v>8122.0</v>
      </c>
      <c r="I179" s="1" t="s">
        <v>21</v>
      </c>
      <c r="J179" s="1" t="s">
        <v>34</v>
      </c>
      <c r="K179" s="1">
        <v>-22.351091</v>
      </c>
      <c r="L179" s="1">
        <v>-41.790866</v>
      </c>
      <c r="M179" s="1">
        <v>0.0</v>
      </c>
      <c r="Q179" s="1">
        <f t="shared" si="1"/>
        <v>0</v>
      </c>
    </row>
    <row r="180" ht="15.75" customHeight="1">
      <c r="A180" s="1" t="s">
        <v>573</v>
      </c>
      <c r="B180" s="2">
        <v>46144.0</v>
      </c>
      <c r="C180" s="1" t="s">
        <v>574</v>
      </c>
      <c r="D180" s="1" t="s">
        <v>571</v>
      </c>
      <c r="E180" s="1" t="s">
        <v>70</v>
      </c>
      <c r="F180" s="1">
        <v>3840.0</v>
      </c>
      <c r="G180" s="1" t="s">
        <v>163</v>
      </c>
      <c r="H180" s="1">
        <v>5899.0</v>
      </c>
      <c r="I180" s="1" t="s">
        <v>21</v>
      </c>
      <c r="J180" s="1" t="s">
        <v>80</v>
      </c>
      <c r="K180" s="1">
        <v>-22.442221</v>
      </c>
      <c r="L180" s="1">
        <v>-41.703016</v>
      </c>
      <c r="M180" s="1">
        <v>0.0</v>
      </c>
      <c r="Q180" s="1">
        <f t="shared" si="1"/>
        <v>0</v>
      </c>
    </row>
    <row r="181" ht="15.75" customHeight="1">
      <c r="A181" s="1" t="s">
        <v>575</v>
      </c>
      <c r="B181" s="2">
        <v>45967.0</v>
      </c>
      <c r="C181" s="1" t="s">
        <v>576</v>
      </c>
      <c r="D181" s="1" t="s">
        <v>571</v>
      </c>
      <c r="E181" s="1" t="s">
        <v>314</v>
      </c>
      <c r="F181" s="1">
        <v>1790.0</v>
      </c>
      <c r="G181" s="1" t="s">
        <v>577</v>
      </c>
      <c r="H181" s="1">
        <v>5318.0</v>
      </c>
      <c r="I181" s="1" t="s">
        <v>198</v>
      </c>
      <c r="J181" s="1" t="s">
        <v>22</v>
      </c>
      <c r="K181" s="1">
        <v>-22.425923</v>
      </c>
      <c r="L181" s="1">
        <v>-41.760675</v>
      </c>
      <c r="M181" s="1">
        <v>4.0</v>
      </c>
      <c r="Q181" s="1">
        <f t="shared" si="1"/>
        <v>5318</v>
      </c>
    </row>
    <row r="182" ht="15.75" customHeight="1">
      <c r="A182" s="1" t="s">
        <v>578</v>
      </c>
      <c r="B182" s="2">
        <v>45982.0</v>
      </c>
      <c r="C182" s="1" t="s">
        <v>579</v>
      </c>
      <c r="D182" s="1" t="s">
        <v>571</v>
      </c>
      <c r="E182" s="1" t="s">
        <v>177</v>
      </c>
      <c r="F182" s="1">
        <v>3271.0</v>
      </c>
      <c r="G182" s="1" t="s">
        <v>580</v>
      </c>
      <c r="H182" s="1">
        <v>17859.0</v>
      </c>
      <c r="I182" s="1" t="s">
        <v>21</v>
      </c>
      <c r="J182" s="1" t="s">
        <v>22</v>
      </c>
      <c r="K182" s="1">
        <v>-22.361671</v>
      </c>
      <c r="L182" s="1">
        <v>-41.715781</v>
      </c>
      <c r="M182" s="1">
        <v>4.0</v>
      </c>
      <c r="Q182" s="1">
        <f t="shared" si="1"/>
        <v>0</v>
      </c>
    </row>
    <row r="183" ht="15.75" customHeight="1">
      <c r="A183" s="1" t="s">
        <v>581</v>
      </c>
      <c r="B183" s="2">
        <v>46159.0</v>
      </c>
      <c r="C183" s="1" t="s">
        <v>582</v>
      </c>
      <c r="D183" s="1" t="s">
        <v>583</v>
      </c>
      <c r="E183" s="1" t="s">
        <v>69</v>
      </c>
      <c r="F183" s="1">
        <v>4825.0</v>
      </c>
      <c r="G183" s="1" t="s">
        <v>584</v>
      </c>
      <c r="H183" s="1">
        <v>12558.0</v>
      </c>
      <c r="I183" s="1" t="s">
        <v>198</v>
      </c>
      <c r="J183" s="1" t="s">
        <v>22</v>
      </c>
      <c r="K183" s="1">
        <v>-22.394209</v>
      </c>
      <c r="L183" s="1">
        <v>-41.756459</v>
      </c>
      <c r="M183" s="1">
        <v>2.0</v>
      </c>
      <c r="Q183" s="1">
        <f t="shared" si="1"/>
        <v>12558</v>
      </c>
    </row>
    <row r="184" ht="15.75" customHeight="1">
      <c r="A184" s="1" t="s">
        <v>585</v>
      </c>
      <c r="B184" s="2">
        <v>46032.0</v>
      </c>
      <c r="C184" s="1" t="s">
        <v>586</v>
      </c>
      <c r="D184" s="1" t="s">
        <v>587</v>
      </c>
      <c r="E184" s="1" t="s">
        <v>64</v>
      </c>
      <c r="F184" s="1">
        <v>1136.0</v>
      </c>
      <c r="G184" s="1" t="s">
        <v>19</v>
      </c>
      <c r="H184" s="1">
        <v>2272.0</v>
      </c>
      <c r="I184" s="1" t="s">
        <v>21</v>
      </c>
      <c r="J184" s="1" t="s">
        <v>80</v>
      </c>
      <c r="K184" s="1">
        <v>-22.377151</v>
      </c>
      <c r="L184" s="1">
        <v>-41.778622</v>
      </c>
      <c r="M184" s="1">
        <v>3.0</v>
      </c>
      <c r="Q184" s="1">
        <f t="shared" si="1"/>
        <v>0</v>
      </c>
    </row>
    <row r="185" ht="15.75" customHeight="1">
      <c r="A185" s="1" t="s">
        <v>588</v>
      </c>
      <c r="B185" s="2">
        <v>46041.0</v>
      </c>
      <c r="C185" s="1" t="s">
        <v>338</v>
      </c>
      <c r="D185" s="1" t="s">
        <v>587</v>
      </c>
      <c r="E185" s="1" t="s">
        <v>32</v>
      </c>
      <c r="F185" s="1">
        <v>1059.0</v>
      </c>
      <c r="G185" s="1" t="s">
        <v>177</v>
      </c>
      <c r="H185" s="1">
        <v>4330.0</v>
      </c>
      <c r="I185" s="1" t="s">
        <v>21</v>
      </c>
      <c r="J185" s="1" t="s">
        <v>40</v>
      </c>
      <c r="K185" s="1">
        <v>-22.430416</v>
      </c>
      <c r="L185" s="1">
        <v>-41.763901</v>
      </c>
      <c r="M185" s="1">
        <v>1.0</v>
      </c>
      <c r="Q185" s="1">
        <f t="shared" si="1"/>
        <v>0</v>
      </c>
    </row>
    <row r="186" ht="15.75" customHeight="1">
      <c r="A186" s="1" t="s">
        <v>589</v>
      </c>
      <c r="B186" s="2">
        <v>45994.0</v>
      </c>
      <c r="C186" s="1" t="s">
        <v>590</v>
      </c>
      <c r="D186" s="1" t="s">
        <v>587</v>
      </c>
      <c r="E186" s="1" t="s">
        <v>436</v>
      </c>
      <c r="F186" s="1">
        <v>2975.0</v>
      </c>
      <c r="G186" s="1" t="s">
        <v>95</v>
      </c>
      <c r="H186" s="1">
        <v>4563.0</v>
      </c>
      <c r="I186" s="1" t="s">
        <v>198</v>
      </c>
      <c r="J186" s="1" t="s">
        <v>80</v>
      </c>
      <c r="K186" s="1">
        <v>-22.358419</v>
      </c>
      <c r="L186" s="1">
        <v>-41.749721</v>
      </c>
      <c r="M186" s="1">
        <v>0.0</v>
      </c>
      <c r="Q186" s="1">
        <f t="shared" si="1"/>
        <v>4563</v>
      </c>
    </row>
    <row r="187" ht="15.75" customHeight="1">
      <c r="A187" s="1" t="s">
        <v>591</v>
      </c>
      <c r="B187" s="2">
        <v>45939.0</v>
      </c>
      <c r="C187" s="1" t="s">
        <v>592</v>
      </c>
      <c r="D187" s="1" t="s">
        <v>587</v>
      </c>
      <c r="E187" s="1" t="s">
        <v>104</v>
      </c>
      <c r="F187" s="1">
        <v>1136.0</v>
      </c>
      <c r="G187" s="1" t="s">
        <v>593</v>
      </c>
      <c r="H187" s="1">
        <v>14869.0</v>
      </c>
      <c r="I187" s="1" t="s">
        <v>21</v>
      </c>
      <c r="J187" s="1" t="s">
        <v>51</v>
      </c>
      <c r="K187" s="1">
        <v>-22.445608</v>
      </c>
      <c r="L187" s="1">
        <v>-41.73045</v>
      </c>
      <c r="M187" s="1">
        <v>3.0</v>
      </c>
      <c r="Q187" s="1">
        <f t="shared" si="1"/>
        <v>0</v>
      </c>
    </row>
    <row r="188" ht="15.75" customHeight="1">
      <c r="A188" s="1" t="s">
        <v>594</v>
      </c>
      <c r="B188" s="2">
        <v>45689.0</v>
      </c>
      <c r="C188" s="1" t="s">
        <v>595</v>
      </c>
      <c r="D188" s="1" t="s">
        <v>587</v>
      </c>
      <c r="E188" s="1" t="s">
        <v>55</v>
      </c>
      <c r="F188" s="1">
        <v>2409.0</v>
      </c>
      <c r="G188" s="1" t="s">
        <v>596</v>
      </c>
      <c r="H188" s="1">
        <v>14356.0</v>
      </c>
      <c r="I188" s="1" t="s">
        <v>21</v>
      </c>
      <c r="J188" s="1" t="s">
        <v>205</v>
      </c>
      <c r="K188" s="1">
        <v>-22.40097</v>
      </c>
      <c r="L188" s="1">
        <v>-41.752655</v>
      </c>
      <c r="M188" s="1">
        <v>3.0</v>
      </c>
      <c r="Q188" s="1">
        <f t="shared" si="1"/>
        <v>0</v>
      </c>
    </row>
    <row r="189" ht="15.75" customHeight="1">
      <c r="A189" s="1" t="s">
        <v>597</v>
      </c>
      <c r="B189" s="2">
        <v>45687.0</v>
      </c>
      <c r="C189" s="1" t="s">
        <v>598</v>
      </c>
      <c r="D189" s="1" t="s">
        <v>599</v>
      </c>
      <c r="E189" s="1" t="s">
        <v>256</v>
      </c>
      <c r="F189" s="1">
        <v>2512.0</v>
      </c>
      <c r="G189" s="1" t="s">
        <v>600</v>
      </c>
      <c r="H189" s="1">
        <v>5430.0</v>
      </c>
      <c r="I189" s="1" t="s">
        <v>21</v>
      </c>
      <c r="J189" s="1" t="s">
        <v>28</v>
      </c>
      <c r="K189" s="1">
        <v>-22.379436</v>
      </c>
      <c r="L189" s="1">
        <v>-41.782309</v>
      </c>
      <c r="M189" s="1">
        <v>4.0</v>
      </c>
      <c r="Q189" s="1">
        <f t="shared" si="1"/>
        <v>0</v>
      </c>
    </row>
    <row r="190" ht="15.75" customHeight="1">
      <c r="A190" s="1" t="s">
        <v>601</v>
      </c>
      <c r="B190" s="2">
        <v>45780.0</v>
      </c>
      <c r="C190" s="1" t="s">
        <v>576</v>
      </c>
      <c r="D190" s="1" t="s">
        <v>599</v>
      </c>
      <c r="E190" s="1" t="s">
        <v>314</v>
      </c>
      <c r="F190" s="1">
        <v>1790.0</v>
      </c>
      <c r="G190" s="1" t="s">
        <v>130</v>
      </c>
      <c r="H190" s="1">
        <v>15047.0</v>
      </c>
      <c r="I190" s="1" t="s">
        <v>21</v>
      </c>
      <c r="J190" s="1" t="s">
        <v>205</v>
      </c>
      <c r="K190" s="1">
        <v>-22.386252</v>
      </c>
      <c r="L190" s="1">
        <v>-41.793767</v>
      </c>
      <c r="M190" s="1">
        <v>0.0</v>
      </c>
      <c r="Q190" s="1">
        <f t="shared" si="1"/>
        <v>0</v>
      </c>
    </row>
    <row r="191" ht="15.75" customHeight="1">
      <c r="A191" s="1" t="s">
        <v>602</v>
      </c>
      <c r="B191" s="2">
        <v>45998.0</v>
      </c>
      <c r="C191" s="1" t="s">
        <v>603</v>
      </c>
      <c r="D191" s="1" t="s">
        <v>599</v>
      </c>
      <c r="E191" s="1" t="s">
        <v>291</v>
      </c>
      <c r="F191" s="1">
        <v>194.0</v>
      </c>
      <c r="G191" s="1" t="s">
        <v>604</v>
      </c>
      <c r="H191" s="1">
        <v>9998.0</v>
      </c>
      <c r="I191" s="1" t="s">
        <v>21</v>
      </c>
      <c r="J191" s="1" t="s">
        <v>28</v>
      </c>
      <c r="K191" s="1">
        <v>-22.359428</v>
      </c>
      <c r="L191" s="1">
        <v>-41.741315</v>
      </c>
      <c r="M191" s="1">
        <v>2.0</v>
      </c>
      <c r="Q191" s="1">
        <f t="shared" si="1"/>
        <v>0</v>
      </c>
    </row>
    <row r="192" ht="15.75" customHeight="1">
      <c r="A192" s="1" t="s">
        <v>605</v>
      </c>
      <c r="B192" s="2">
        <v>45720.0</v>
      </c>
      <c r="C192" s="1" t="s">
        <v>606</v>
      </c>
      <c r="D192" s="1" t="s">
        <v>599</v>
      </c>
      <c r="E192" s="1" t="s">
        <v>136</v>
      </c>
      <c r="F192" s="1">
        <v>1588.0</v>
      </c>
      <c r="G192" s="1" t="s">
        <v>607</v>
      </c>
      <c r="H192" s="1">
        <v>17569.0</v>
      </c>
      <c r="I192" s="1" t="s">
        <v>21</v>
      </c>
      <c r="J192" s="1" t="s">
        <v>34</v>
      </c>
      <c r="K192" s="1">
        <v>-22.367495</v>
      </c>
      <c r="L192" s="1">
        <v>-41.749847</v>
      </c>
      <c r="M192" s="1">
        <v>0.0</v>
      </c>
      <c r="Q192" s="1">
        <f t="shared" si="1"/>
        <v>0</v>
      </c>
    </row>
    <row r="193" ht="15.75" customHeight="1">
      <c r="A193" s="1" t="s">
        <v>608</v>
      </c>
      <c r="B193" s="2">
        <v>46112.0</v>
      </c>
      <c r="C193" s="1" t="s">
        <v>609</v>
      </c>
      <c r="D193" s="1" t="s">
        <v>610</v>
      </c>
      <c r="E193" s="1" t="s">
        <v>197</v>
      </c>
      <c r="F193" s="1">
        <v>195.0</v>
      </c>
      <c r="G193" s="1" t="s">
        <v>60</v>
      </c>
      <c r="H193" s="1">
        <v>2651.0</v>
      </c>
      <c r="I193" s="1" t="s">
        <v>21</v>
      </c>
      <c r="J193" s="1" t="s">
        <v>86</v>
      </c>
      <c r="K193" s="1">
        <v>-22.389147</v>
      </c>
      <c r="L193" s="1">
        <v>-41.731128</v>
      </c>
      <c r="M193" s="1">
        <v>0.0</v>
      </c>
      <c r="Q193" s="1">
        <f t="shared" si="1"/>
        <v>0</v>
      </c>
    </row>
    <row r="194" ht="15.75" customHeight="1">
      <c r="A194" s="1" t="s">
        <v>611</v>
      </c>
      <c r="B194" s="2">
        <v>45976.0</v>
      </c>
      <c r="C194" s="1" t="s">
        <v>208</v>
      </c>
      <c r="D194" s="1" t="s">
        <v>610</v>
      </c>
      <c r="E194" s="1" t="s">
        <v>210</v>
      </c>
      <c r="F194" s="1">
        <v>1588.0</v>
      </c>
      <c r="G194" s="1" t="s">
        <v>256</v>
      </c>
      <c r="H194" s="1">
        <v>4100.0</v>
      </c>
      <c r="I194" s="1" t="s">
        <v>21</v>
      </c>
      <c r="J194" s="1" t="s">
        <v>80</v>
      </c>
      <c r="K194" s="1">
        <v>-22.438229</v>
      </c>
      <c r="L194" s="1">
        <v>-41.753375</v>
      </c>
      <c r="M194" s="1">
        <v>2.0</v>
      </c>
      <c r="Q194" s="1">
        <f t="shared" si="1"/>
        <v>0</v>
      </c>
    </row>
    <row r="195" ht="15.75" customHeight="1">
      <c r="A195" s="1" t="s">
        <v>612</v>
      </c>
      <c r="B195" s="2">
        <v>45844.0</v>
      </c>
      <c r="C195" s="1" t="s">
        <v>613</v>
      </c>
      <c r="D195" s="1" t="s">
        <v>610</v>
      </c>
      <c r="E195" s="1" t="s">
        <v>84</v>
      </c>
      <c r="F195" s="1">
        <v>9435.0</v>
      </c>
      <c r="G195" s="1" t="s">
        <v>614</v>
      </c>
      <c r="H195" s="1">
        <v>14581.0</v>
      </c>
      <c r="I195" s="1" t="s">
        <v>21</v>
      </c>
      <c r="J195" s="1" t="s">
        <v>28</v>
      </c>
      <c r="K195" s="1">
        <v>-22.41825</v>
      </c>
      <c r="L195" s="1">
        <v>-41.737338</v>
      </c>
      <c r="M195" s="1">
        <v>0.0</v>
      </c>
      <c r="Q195" s="1">
        <f t="shared" si="1"/>
        <v>0</v>
      </c>
    </row>
    <row r="196" ht="15.75" customHeight="1">
      <c r="A196" s="1" t="s">
        <v>615</v>
      </c>
      <c r="B196" s="2">
        <v>45880.0</v>
      </c>
      <c r="C196" s="1" t="s">
        <v>616</v>
      </c>
      <c r="D196" s="1" t="s">
        <v>617</v>
      </c>
      <c r="E196" s="1" t="s">
        <v>19</v>
      </c>
      <c r="F196" s="1">
        <v>1136.0</v>
      </c>
      <c r="G196" s="1" t="s">
        <v>104</v>
      </c>
      <c r="H196" s="1">
        <v>2272.0</v>
      </c>
      <c r="I196" s="1" t="s">
        <v>21</v>
      </c>
      <c r="J196" s="1" t="s">
        <v>205</v>
      </c>
      <c r="K196" s="1">
        <v>-22.441873</v>
      </c>
      <c r="L196" s="1">
        <v>-41.727572</v>
      </c>
      <c r="M196" s="1">
        <v>2.0</v>
      </c>
      <c r="Q196" s="1">
        <f t="shared" si="1"/>
        <v>0</v>
      </c>
    </row>
    <row r="197" ht="15.75" customHeight="1">
      <c r="A197" s="1" t="s">
        <v>618</v>
      </c>
      <c r="B197" s="2">
        <v>45975.0</v>
      </c>
      <c r="C197" s="1" t="s">
        <v>157</v>
      </c>
      <c r="D197" s="1" t="s">
        <v>617</v>
      </c>
      <c r="E197" s="1" t="s">
        <v>33</v>
      </c>
      <c r="F197" s="1">
        <v>821.0</v>
      </c>
      <c r="G197" s="1" t="s">
        <v>619</v>
      </c>
      <c r="H197" s="1">
        <v>4932.0</v>
      </c>
      <c r="I197" s="1" t="s">
        <v>21</v>
      </c>
      <c r="J197" s="1" t="s">
        <v>51</v>
      </c>
      <c r="K197" s="1">
        <v>-22.379409</v>
      </c>
      <c r="L197" s="1">
        <v>-41.7822</v>
      </c>
      <c r="M197" s="1">
        <v>0.0</v>
      </c>
      <c r="Q197" s="1">
        <f t="shared" si="1"/>
        <v>0</v>
      </c>
    </row>
    <row r="198" ht="15.75" customHeight="1">
      <c r="A198" s="1" t="s">
        <v>620</v>
      </c>
      <c r="B198" s="2">
        <v>45937.0</v>
      </c>
      <c r="C198" s="1" t="s">
        <v>576</v>
      </c>
      <c r="D198" s="1" t="s">
        <v>617</v>
      </c>
      <c r="E198" s="1" t="s">
        <v>314</v>
      </c>
      <c r="F198" s="1">
        <v>1790.0</v>
      </c>
      <c r="G198" s="1" t="s">
        <v>621</v>
      </c>
      <c r="H198" s="1">
        <v>19708.0</v>
      </c>
      <c r="I198" s="1" t="s">
        <v>21</v>
      </c>
      <c r="J198" s="1" t="s">
        <v>28</v>
      </c>
      <c r="K198" s="1">
        <v>-22.352072</v>
      </c>
      <c r="L198" s="1">
        <v>-41.774065</v>
      </c>
      <c r="M198" s="1">
        <v>1.0</v>
      </c>
      <c r="Q198" s="1">
        <f t="shared" si="1"/>
        <v>0</v>
      </c>
    </row>
    <row r="199" ht="15.75" customHeight="1">
      <c r="A199" s="1" t="s">
        <v>622</v>
      </c>
      <c r="B199" s="2">
        <v>46030.0</v>
      </c>
      <c r="C199" s="1" t="s">
        <v>390</v>
      </c>
      <c r="D199" s="1" t="s">
        <v>617</v>
      </c>
      <c r="E199" s="1" t="s">
        <v>392</v>
      </c>
      <c r="F199" s="1">
        <v>2512.0</v>
      </c>
      <c r="G199" s="1" t="s">
        <v>623</v>
      </c>
      <c r="H199" s="1">
        <v>13535.0</v>
      </c>
      <c r="I199" s="1" t="s">
        <v>198</v>
      </c>
      <c r="J199" s="1" t="s">
        <v>205</v>
      </c>
      <c r="K199" s="1">
        <v>-22.36705</v>
      </c>
      <c r="L199" s="1">
        <v>-41.731296</v>
      </c>
      <c r="M199" s="1">
        <v>2.0</v>
      </c>
      <c r="Q199" s="1">
        <f t="shared" si="1"/>
        <v>13535</v>
      </c>
    </row>
    <row r="200" ht="15.75" customHeight="1">
      <c r="A200" s="1" t="s">
        <v>624</v>
      </c>
      <c r="B200" s="2">
        <v>45817.0</v>
      </c>
      <c r="C200" s="1" t="s">
        <v>224</v>
      </c>
      <c r="D200" s="1" t="s">
        <v>625</v>
      </c>
      <c r="E200" s="1" t="s">
        <v>69</v>
      </c>
      <c r="F200" s="1">
        <v>4825.0</v>
      </c>
      <c r="G200" s="1" t="s">
        <v>95</v>
      </c>
      <c r="H200" s="1">
        <v>6413.0</v>
      </c>
      <c r="I200" s="1" t="s">
        <v>198</v>
      </c>
      <c r="J200" s="1" t="s">
        <v>34</v>
      </c>
      <c r="K200" s="1">
        <v>-22.350624</v>
      </c>
      <c r="L200" s="1">
        <v>-41.756615</v>
      </c>
      <c r="M200" s="1">
        <v>4.0</v>
      </c>
      <c r="Q200" s="1">
        <f t="shared" si="1"/>
        <v>6413</v>
      </c>
    </row>
    <row r="201" ht="15.75" customHeight="1">
      <c r="A201" s="1" t="s">
        <v>626</v>
      </c>
      <c r="B201" s="2">
        <v>45750.0</v>
      </c>
      <c r="C201" s="1" t="s">
        <v>627</v>
      </c>
      <c r="D201" s="1" t="s">
        <v>625</v>
      </c>
      <c r="E201" s="1" t="s">
        <v>256</v>
      </c>
      <c r="F201" s="1">
        <v>2512.0</v>
      </c>
      <c r="G201" s="1" t="s">
        <v>628</v>
      </c>
      <c r="H201" s="1">
        <v>15020.0</v>
      </c>
      <c r="I201" s="1" t="s">
        <v>198</v>
      </c>
      <c r="J201" s="1" t="s">
        <v>34</v>
      </c>
      <c r="K201" s="1">
        <v>-22.424179</v>
      </c>
      <c r="L201" s="1">
        <v>-41.753231</v>
      </c>
      <c r="M201" s="1">
        <v>4.0</v>
      </c>
      <c r="Q201" s="1">
        <f t="shared" si="1"/>
        <v>15020</v>
      </c>
    </row>
    <row r="202" ht="15.75" customHeight="1">
      <c r="A202" s="1" t="s">
        <v>629</v>
      </c>
      <c r="B202" s="2">
        <v>46144.0</v>
      </c>
      <c r="C202" s="1" t="s">
        <v>630</v>
      </c>
      <c r="D202" s="1" t="s">
        <v>625</v>
      </c>
      <c r="E202" s="1" t="s">
        <v>297</v>
      </c>
      <c r="F202" s="1">
        <v>1136.0</v>
      </c>
      <c r="G202" s="1" t="s">
        <v>356</v>
      </c>
      <c r="H202" s="1">
        <v>1136.0</v>
      </c>
      <c r="I202" s="1" t="s">
        <v>21</v>
      </c>
      <c r="J202" s="1" t="s">
        <v>205</v>
      </c>
      <c r="K202" s="1">
        <v>-22.391318</v>
      </c>
      <c r="L202" s="1">
        <v>-41.762772</v>
      </c>
      <c r="M202" s="1">
        <v>1.0</v>
      </c>
      <c r="Q202" s="1">
        <f t="shared" si="1"/>
        <v>0</v>
      </c>
    </row>
    <row r="203" ht="15.75" customHeight="1">
      <c r="A203" s="1" t="s">
        <v>631</v>
      </c>
      <c r="B203" s="2">
        <v>46025.0</v>
      </c>
      <c r="C203" s="1" t="s">
        <v>632</v>
      </c>
      <c r="D203" s="1" t="s">
        <v>625</v>
      </c>
      <c r="E203" s="1" t="s">
        <v>177</v>
      </c>
      <c r="F203" s="1">
        <v>3271.0</v>
      </c>
      <c r="G203" s="1" t="s">
        <v>633</v>
      </c>
      <c r="H203" s="1">
        <v>14015.0</v>
      </c>
      <c r="I203" s="1" t="s">
        <v>21</v>
      </c>
      <c r="J203" s="1" t="s">
        <v>28</v>
      </c>
      <c r="K203" s="1">
        <v>-22.407859</v>
      </c>
      <c r="L203" s="1">
        <v>-41.766529</v>
      </c>
      <c r="M203" s="1">
        <v>0.0</v>
      </c>
      <c r="Q203" s="1">
        <f t="shared" si="1"/>
        <v>0</v>
      </c>
    </row>
    <row r="204" ht="15.75" customHeight="1">
      <c r="A204" s="1" t="s">
        <v>634</v>
      </c>
      <c r="B204" s="2">
        <v>45971.0</v>
      </c>
      <c r="C204" s="1" t="s">
        <v>635</v>
      </c>
      <c r="D204" s="1" t="s">
        <v>636</v>
      </c>
      <c r="E204" s="1" t="s">
        <v>256</v>
      </c>
      <c r="F204" s="1">
        <v>2512.0</v>
      </c>
      <c r="G204" s="1" t="s">
        <v>60</v>
      </c>
      <c r="H204" s="1">
        <v>4968.0</v>
      </c>
      <c r="I204" s="1" t="s">
        <v>198</v>
      </c>
      <c r="J204" s="1" t="s">
        <v>205</v>
      </c>
      <c r="K204" s="1">
        <v>-22.395322</v>
      </c>
      <c r="L204" s="1">
        <v>-41.724795</v>
      </c>
      <c r="M204" s="1">
        <v>1.0</v>
      </c>
      <c r="Q204" s="1">
        <f t="shared" si="1"/>
        <v>4968</v>
      </c>
    </row>
    <row r="205" ht="15.75" customHeight="1">
      <c r="A205" s="1" t="s">
        <v>637</v>
      </c>
      <c r="B205" s="2">
        <v>46066.0</v>
      </c>
      <c r="C205" s="1" t="s">
        <v>638</v>
      </c>
      <c r="D205" s="1" t="s">
        <v>636</v>
      </c>
      <c r="E205" s="1" t="s">
        <v>392</v>
      </c>
      <c r="F205" s="1">
        <v>2512.0</v>
      </c>
      <c r="G205" s="1" t="s">
        <v>639</v>
      </c>
      <c r="H205" s="1">
        <v>9052.0</v>
      </c>
      <c r="I205" s="1" t="s">
        <v>198</v>
      </c>
      <c r="J205" s="1" t="s">
        <v>34</v>
      </c>
      <c r="K205" s="1">
        <v>-22.424743</v>
      </c>
      <c r="L205" s="1">
        <v>-41.762679</v>
      </c>
      <c r="M205" s="1">
        <v>3.0</v>
      </c>
      <c r="Q205" s="1">
        <f t="shared" si="1"/>
        <v>9052</v>
      </c>
    </row>
    <row r="206" ht="15.75" customHeight="1">
      <c r="A206" s="1" t="s">
        <v>640</v>
      </c>
      <c r="B206" s="2">
        <v>45897.0</v>
      </c>
      <c r="C206" s="1" t="s">
        <v>641</v>
      </c>
      <c r="D206" s="1" t="s">
        <v>636</v>
      </c>
      <c r="E206" s="1" t="s">
        <v>65</v>
      </c>
      <c r="F206" s="1">
        <v>3840.0</v>
      </c>
      <c r="G206" s="1" t="s">
        <v>642</v>
      </c>
      <c r="H206" s="1">
        <v>18685.0</v>
      </c>
      <c r="I206" s="1" t="s">
        <v>21</v>
      </c>
      <c r="J206" s="1" t="s">
        <v>22</v>
      </c>
      <c r="K206" s="1">
        <v>-22.407901</v>
      </c>
      <c r="L206" s="1">
        <v>-41.722593</v>
      </c>
      <c r="M206" s="1">
        <v>4.0</v>
      </c>
      <c r="Q206" s="1">
        <f t="shared" si="1"/>
        <v>0</v>
      </c>
    </row>
    <row r="207" ht="15.75" customHeight="1">
      <c r="A207" s="1" t="s">
        <v>643</v>
      </c>
      <c r="B207" s="2">
        <v>45828.0</v>
      </c>
      <c r="C207" s="1" t="s">
        <v>644</v>
      </c>
      <c r="D207" s="1" t="s">
        <v>636</v>
      </c>
      <c r="E207" s="1" t="s">
        <v>115</v>
      </c>
      <c r="F207" s="1">
        <v>5506.0</v>
      </c>
      <c r="G207" s="1" t="s">
        <v>645</v>
      </c>
      <c r="H207" s="1">
        <v>8230.0</v>
      </c>
      <c r="I207" s="1" t="s">
        <v>21</v>
      </c>
      <c r="J207" s="1" t="s">
        <v>34</v>
      </c>
      <c r="K207" s="1">
        <v>-22.354851</v>
      </c>
      <c r="L207" s="1">
        <v>-41.743201</v>
      </c>
      <c r="M207" s="1">
        <v>2.0</v>
      </c>
      <c r="Q207" s="1">
        <f t="shared" si="1"/>
        <v>0</v>
      </c>
    </row>
    <row r="208" ht="15.75" customHeight="1">
      <c r="A208" s="1" t="s">
        <v>646</v>
      </c>
      <c r="B208" s="2">
        <v>45750.0</v>
      </c>
      <c r="C208" s="1" t="s">
        <v>647</v>
      </c>
      <c r="D208" s="1" t="s">
        <v>636</v>
      </c>
      <c r="E208" s="1" t="s">
        <v>314</v>
      </c>
      <c r="F208" s="1">
        <v>1790.0</v>
      </c>
      <c r="G208" s="1" t="s">
        <v>64</v>
      </c>
      <c r="H208" s="1">
        <v>2926.0</v>
      </c>
      <c r="I208" s="1" t="s">
        <v>21</v>
      </c>
      <c r="J208" s="1" t="s">
        <v>28</v>
      </c>
      <c r="K208" s="1">
        <v>-22.369851</v>
      </c>
      <c r="L208" s="1">
        <v>-41.754129</v>
      </c>
      <c r="M208" s="1">
        <v>2.0</v>
      </c>
      <c r="Q208" s="1">
        <f t="shared" si="1"/>
        <v>0</v>
      </c>
    </row>
    <row r="209" ht="15.75" customHeight="1">
      <c r="A209" s="1" t="s">
        <v>648</v>
      </c>
      <c r="B209" s="2">
        <v>45834.0</v>
      </c>
      <c r="C209" s="1" t="s">
        <v>128</v>
      </c>
      <c r="D209" s="1" t="s">
        <v>636</v>
      </c>
      <c r="E209" s="1" t="s">
        <v>69</v>
      </c>
      <c r="F209" s="1">
        <v>4825.0</v>
      </c>
      <c r="G209" s="1" t="s">
        <v>649</v>
      </c>
      <c r="H209" s="1">
        <v>8020.0</v>
      </c>
      <c r="I209" s="1" t="s">
        <v>21</v>
      </c>
      <c r="J209" s="1" t="s">
        <v>86</v>
      </c>
      <c r="K209" s="1">
        <v>-22.441962</v>
      </c>
      <c r="L209" s="1">
        <v>-41.776382</v>
      </c>
      <c r="M209" s="1">
        <v>2.0</v>
      </c>
      <c r="Q209" s="1">
        <f t="shared" si="1"/>
        <v>0</v>
      </c>
    </row>
    <row r="210" ht="15.75" customHeight="1">
      <c r="A210" s="1" t="s">
        <v>650</v>
      </c>
      <c r="B210" s="2">
        <v>45815.0</v>
      </c>
      <c r="C210" s="1" t="s">
        <v>651</v>
      </c>
      <c r="D210" s="1" t="s">
        <v>636</v>
      </c>
      <c r="E210" s="1" t="s">
        <v>44</v>
      </c>
      <c r="F210" s="1">
        <v>5506.0</v>
      </c>
      <c r="G210" s="1" t="s">
        <v>652</v>
      </c>
      <c r="H210" s="1">
        <v>17350.0</v>
      </c>
      <c r="I210" s="1" t="s">
        <v>21</v>
      </c>
      <c r="J210" s="1" t="s">
        <v>80</v>
      </c>
      <c r="K210" s="1">
        <v>-22.449506</v>
      </c>
      <c r="L210" s="1">
        <v>-41.784067</v>
      </c>
      <c r="M210" s="1">
        <v>4.0</v>
      </c>
      <c r="Q210" s="1">
        <f t="shared" si="1"/>
        <v>0</v>
      </c>
    </row>
    <row r="211" ht="15.75" customHeight="1">
      <c r="A211" s="1" t="s">
        <v>653</v>
      </c>
      <c r="B211" s="2">
        <v>46141.0</v>
      </c>
      <c r="C211" s="1" t="s">
        <v>654</v>
      </c>
      <c r="D211" s="1" t="s">
        <v>655</v>
      </c>
      <c r="E211" s="1" t="s">
        <v>291</v>
      </c>
      <c r="F211" s="1">
        <v>194.0</v>
      </c>
      <c r="G211" s="1" t="s">
        <v>656</v>
      </c>
      <c r="H211" s="1">
        <v>7288.0</v>
      </c>
      <c r="I211" s="1" t="s">
        <v>21</v>
      </c>
      <c r="J211" s="1" t="s">
        <v>205</v>
      </c>
      <c r="K211" s="1">
        <v>-22.379378</v>
      </c>
      <c r="L211" s="1">
        <v>-41.723694</v>
      </c>
      <c r="M211" s="1">
        <v>3.0</v>
      </c>
      <c r="Q211" s="1">
        <f t="shared" si="1"/>
        <v>0</v>
      </c>
    </row>
    <row r="212" ht="15.75" customHeight="1">
      <c r="A212" s="1" t="s">
        <v>657</v>
      </c>
      <c r="B212" s="2">
        <v>46067.0</v>
      </c>
      <c r="C212" s="1" t="s">
        <v>654</v>
      </c>
      <c r="D212" s="1" t="s">
        <v>655</v>
      </c>
      <c r="E212" s="1" t="s">
        <v>291</v>
      </c>
      <c r="F212" s="1">
        <v>194.0</v>
      </c>
      <c r="G212" s="1" t="s">
        <v>658</v>
      </c>
      <c r="H212" s="1">
        <v>6093.0</v>
      </c>
      <c r="I212" s="1" t="s">
        <v>21</v>
      </c>
      <c r="J212" s="1" t="s">
        <v>86</v>
      </c>
      <c r="K212" s="1">
        <v>-22.368021</v>
      </c>
      <c r="L212" s="1">
        <v>-41.726963</v>
      </c>
      <c r="M212" s="1">
        <v>2.0</v>
      </c>
      <c r="Q212" s="1">
        <f t="shared" si="1"/>
        <v>0</v>
      </c>
    </row>
    <row r="213" ht="15.75" customHeight="1">
      <c r="A213" s="1" t="s">
        <v>659</v>
      </c>
      <c r="B213" s="2">
        <v>46158.0</v>
      </c>
      <c r="C213" s="1" t="s">
        <v>375</v>
      </c>
      <c r="D213" s="1" t="s">
        <v>655</v>
      </c>
      <c r="E213" s="1" t="s">
        <v>130</v>
      </c>
      <c r="F213" s="1">
        <v>13257.0</v>
      </c>
      <c r="G213" s="1" t="s">
        <v>660</v>
      </c>
      <c r="H213" s="1">
        <v>22816.0</v>
      </c>
      <c r="I213" s="1" t="s">
        <v>198</v>
      </c>
      <c r="J213" s="1" t="s">
        <v>40</v>
      </c>
      <c r="K213" s="1">
        <v>-22.427831</v>
      </c>
      <c r="L213" s="1">
        <v>-41.739148</v>
      </c>
      <c r="M213" s="1">
        <v>4.0</v>
      </c>
      <c r="Q213" s="1">
        <f t="shared" si="1"/>
        <v>22816</v>
      </c>
    </row>
    <row r="214" ht="15.75" customHeight="1">
      <c r="A214" s="1" t="s">
        <v>661</v>
      </c>
      <c r="B214" s="2">
        <v>46065.0</v>
      </c>
      <c r="C214" s="1" t="s">
        <v>183</v>
      </c>
      <c r="D214" s="1" t="s">
        <v>662</v>
      </c>
      <c r="E214" s="1" t="s">
        <v>33</v>
      </c>
      <c r="F214" s="1">
        <v>821.0</v>
      </c>
      <c r="G214" s="1" t="s">
        <v>663</v>
      </c>
      <c r="H214" s="1">
        <v>5228.0</v>
      </c>
      <c r="I214" s="1" t="s">
        <v>21</v>
      </c>
      <c r="J214" s="1" t="s">
        <v>34</v>
      </c>
      <c r="K214" s="1">
        <v>-22.436192</v>
      </c>
      <c r="L214" s="1">
        <v>-41.781203</v>
      </c>
      <c r="M214" s="1">
        <v>0.0</v>
      </c>
      <c r="Q214" s="1">
        <f t="shared" si="1"/>
        <v>0</v>
      </c>
    </row>
    <row r="215" ht="15.75" customHeight="1">
      <c r="A215" s="1" t="s">
        <v>664</v>
      </c>
      <c r="B215" s="2">
        <v>46005.0</v>
      </c>
      <c r="C215" s="1" t="s">
        <v>42</v>
      </c>
      <c r="D215" s="1" t="s">
        <v>662</v>
      </c>
      <c r="E215" s="1" t="s">
        <v>44</v>
      </c>
      <c r="F215" s="1">
        <v>5506.0</v>
      </c>
      <c r="G215" s="1" t="s">
        <v>665</v>
      </c>
      <c r="H215" s="1">
        <v>17453.0</v>
      </c>
      <c r="I215" s="1" t="s">
        <v>21</v>
      </c>
      <c r="J215" s="1" t="s">
        <v>28</v>
      </c>
      <c r="K215" s="1">
        <v>-22.407429</v>
      </c>
      <c r="L215" s="1">
        <v>-41.771504</v>
      </c>
      <c r="M215" s="1">
        <v>3.0</v>
      </c>
      <c r="Q215" s="1">
        <f t="shared" si="1"/>
        <v>0</v>
      </c>
    </row>
    <row r="216" ht="15.75" customHeight="1">
      <c r="A216" s="1" t="s">
        <v>666</v>
      </c>
      <c r="B216" s="2">
        <v>45841.0</v>
      </c>
      <c r="C216" s="1" t="s">
        <v>667</v>
      </c>
      <c r="D216" s="1" t="s">
        <v>668</v>
      </c>
      <c r="E216" s="1" t="s">
        <v>177</v>
      </c>
      <c r="F216" s="1">
        <v>3271.0</v>
      </c>
      <c r="G216" s="1" t="s">
        <v>669</v>
      </c>
      <c r="H216" s="1">
        <v>7011.0</v>
      </c>
      <c r="I216" s="1" t="s">
        <v>198</v>
      </c>
      <c r="J216" s="1" t="s">
        <v>51</v>
      </c>
      <c r="K216" s="1">
        <v>-22.381766</v>
      </c>
      <c r="L216" s="1">
        <v>-41.716577</v>
      </c>
      <c r="M216" s="1">
        <v>1.0</v>
      </c>
      <c r="Q216" s="1">
        <f t="shared" si="1"/>
        <v>7011</v>
      </c>
    </row>
    <row r="217" ht="15.75" customHeight="1">
      <c r="A217" s="1" t="s">
        <v>670</v>
      </c>
      <c r="B217" s="2">
        <v>46072.0</v>
      </c>
      <c r="C217" s="1" t="s">
        <v>671</v>
      </c>
      <c r="D217" s="1" t="s">
        <v>668</v>
      </c>
      <c r="E217" s="1" t="s">
        <v>315</v>
      </c>
      <c r="F217" s="1">
        <v>821.0</v>
      </c>
      <c r="G217" s="1" t="s">
        <v>64</v>
      </c>
      <c r="H217" s="1">
        <v>1957.0</v>
      </c>
      <c r="I217" s="1" t="s">
        <v>21</v>
      </c>
      <c r="J217" s="1" t="s">
        <v>28</v>
      </c>
      <c r="K217" s="1">
        <v>-22.418097</v>
      </c>
      <c r="L217" s="1">
        <v>-41.742532</v>
      </c>
      <c r="M217" s="1">
        <v>0.0</v>
      </c>
      <c r="Q217" s="1">
        <f t="shared" si="1"/>
        <v>0</v>
      </c>
    </row>
    <row r="218" ht="15.75" customHeight="1">
      <c r="A218" s="1" t="s">
        <v>672</v>
      </c>
      <c r="B218" s="2">
        <v>46090.0</v>
      </c>
      <c r="C218" s="1" t="s">
        <v>667</v>
      </c>
      <c r="D218" s="1" t="s">
        <v>668</v>
      </c>
      <c r="E218" s="1" t="s">
        <v>177</v>
      </c>
      <c r="F218" s="1">
        <v>3271.0</v>
      </c>
      <c r="G218" s="1" t="s">
        <v>673</v>
      </c>
      <c r="H218" s="1">
        <v>9157.0</v>
      </c>
      <c r="I218" s="1" t="s">
        <v>198</v>
      </c>
      <c r="J218" s="1" t="s">
        <v>86</v>
      </c>
      <c r="K218" s="1">
        <v>-22.407502</v>
      </c>
      <c r="L218" s="1">
        <v>-41.725793</v>
      </c>
      <c r="M218" s="1">
        <v>0.0</v>
      </c>
      <c r="Q218" s="1">
        <f t="shared" si="1"/>
        <v>9157</v>
      </c>
    </row>
    <row r="219" ht="15.75" customHeight="1">
      <c r="A219" s="1" t="s">
        <v>674</v>
      </c>
      <c r="B219" s="2">
        <v>46001.0</v>
      </c>
      <c r="C219" s="1" t="s">
        <v>675</v>
      </c>
      <c r="D219" s="1" t="s">
        <v>668</v>
      </c>
      <c r="E219" s="1" t="s">
        <v>344</v>
      </c>
      <c r="F219" s="1">
        <v>2512.0</v>
      </c>
      <c r="G219" s="1" t="s">
        <v>676</v>
      </c>
      <c r="H219" s="1">
        <v>8663.0</v>
      </c>
      <c r="I219" s="1" t="s">
        <v>198</v>
      </c>
      <c r="J219" s="1" t="s">
        <v>80</v>
      </c>
      <c r="K219" s="1">
        <v>-22.438833</v>
      </c>
      <c r="L219" s="1">
        <v>-41.782116</v>
      </c>
      <c r="M219" s="1">
        <v>4.0</v>
      </c>
      <c r="Q219" s="1">
        <f t="shared" si="1"/>
        <v>8663</v>
      </c>
    </row>
    <row r="220" ht="15.75" customHeight="1">
      <c r="A220" s="1" t="s">
        <v>677</v>
      </c>
      <c r="B220" s="2">
        <v>46003.0</v>
      </c>
      <c r="C220" s="1" t="s">
        <v>134</v>
      </c>
      <c r="D220" s="1" t="s">
        <v>678</v>
      </c>
      <c r="E220" s="1" t="s">
        <v>130</v>
      </c>
      <c r="F220" s="1">
        <v>13257.0</v>
      </c>
      <c r="G220" s="1" t="s">
        <v>679</v>
      </c>
      <c r="H220" s="1">
        <v>28022.0</v>
      </c>
      <c r="I220" s="1" t="s">
        <v>21</v>
      </c>
      <c r="J220" s="1" t="s">
        <v>86</v>
      </c>
      <c r="K220" s="1">
        <v>-22.430239</v>
      </c>
      <c r="L220" s="1">
        <v>-41.718716</v>
      </c>
      <c r="M220" s="1">
        <v>4.0</v>
      </c>
      <c r="Q220" s="1">
        <f t="shared" si="1"/>
        <v>0</v>
      </c>
    </row>
    <row r="221" ht="15.75" customHeight="1">
      <c r="A221" s="1" t="s">
        <v>680</v>
      </c>
      <c r="B221" s="2">
        <v>45698.0</v>
      </c>
      <c r="C221" s="1" t="s">
        <v>681</v>
      </c>
      <c r="D221" s="1" t="s">
        <v>678</v>
      </c>
      <c r="E221" s="1" t="s">
        <v>315</v>
      </c>
      <c r="F221" s="1">
        <v>821.0</v>
      </c>
      <c r="G221" s="1" t="s">
        <v>682</v>
      </c>
      <c r="H221" s="1">
        <v>13418.0</v>
      </c>
      <c r="I221" s="1" t="s">
        <v>198</v>
      </c>
      <c r="J221" s="1" t="s">
        <v>205</v>
      </c>
      <c r="K221" s="1">
        <v>-22.403975</v>
      </c>
      <c r="L221" s="1">
        <v>-41.794993</v>
      </c>
      <c r="M221" s="1">
        <v>0.0</v>
      </c>
      <c r="Q221" s="1">
        <f t="shared" si="1"/>
        <v>13418</v>
      </c>
    </row>
    <row r="222" ht="15.75" customHeight="1">
      <c r="A222" s="1" t="s">
        <v>683</v>
      </c>
      <c r="B222" s="2">
        <v>46003.0</v>
      </c>
      <c r="C222" s="1" t="s">
        <v>462</v>
      </c>
      <c r="D222" s="1" t="s">
        <v>684</v>
      </c>
      <c r="E222" s="1" t="s">
        <v>95</v>
      </c>
      <c r="F222" s="1">
        <v>1588.0</v>
      </c>
      <c r="G222" s="1" t="s">
        <v>685</v>
      </c>
      <c r="H222" s="1">
        <v>18842.0</v>
      </c>
      <c r="I222" s="1" t="s">
        <v>21</v>
      </c>
      <c r="J222" s="1" t="s">
        <v>40</v>
      </c>
      <c r="K222" s="1">
        <v>-22.395725</v>
      </c>
      <c r="L222" s="1">
        <v>-41.782127</v>
      </c>
      <c r="M222" s="1">
        <v>2.0</v>
      </c>
      <c r="Q222" s="1">
        <f t="shared" si="1"/>
        <v>0</v>
      </c>
    </row>
    <row r="223" ht="15.75" customHeight="1">
      <c r="A223" s="1" t="s">
        <v>686</v>
      </c>
      <c r="B223" s="2">
        <v>45962.0</v>
      </c>
      <c r="C223" s="1" t="s">
        <v>687</v>
      </c>
      <c r="D223" s="1" t="s">
        <v>684</v>
      </c>
      <c r="E223" s="1" t="s">
        <v>64</v>
      </c>
      <c r="F223" s="1">
        <v>1136.0</v>
      </c>
      <c r="G223" s="1" t="s">
        <v>393</v>
      </c>
      <c r="H223" s="1">
        <v>3093.0</v>
      </c>
      <c r="I223" s="1" t="s">
        <v>198</v>
      </c>
      <c r="J223" s="1" t="s">
        <v>22</v>
      </c>
      <c r="K223" s="1">
        <v>-22.414276</v>
      </c>
      <c r="L223" s="1">
        <v>-41.796339</v>
      </c>
      <c r="M223" s="1">
        <v>0.0</v>
      </c>
      <c r="Q223" s="1">
        <f t="shared" si="1"/>
        <v>3093</v>
      </c>
    </row>
    <row r="224" ht="15.75" customHeight="1">
      <c r="A224" s="1" t="s">
        <v>688</v>
      </c>
      <c r="B224" s="2">
        <v>45754.0</v>
      </c>
      <c r="C224" s="1" t="s">
        <v>689</v>
      </c>
      <c r="D224" s="1" t="s">
        <v>690</v>
      </c>
      <c r="E224" s="1" t="s">
        <v>504</v>
      </c>
      <c r="F224" s="1">
        <v>1136.0</v>
      </c>
      <c r="G224" s="1" t="s">
        <v>60</v>
      </c>
      <c r="H224" s="1">
        <v>3592.0</v>
      </c>
      <c r="I224" s="1" t="s">
        <v>21</v>
      </c>
      <c r="J224" s="1" t="s">
        <v>28</v>
      </c>
      <c r="K224" s="1">
        <v>-22.386708</v>
      </c>
      <c r="L224" s="1">
        <v>-41.75689</v>
      </c>
      <c r="M224" s="1">
        <v>1.0</v>
      </c>
      <c r="Q224" s="1">
        <f t="shared" si="1"/>
        <v>0</v>
      </c>
    </row>
    <row r="225" ht="15.75" customHeight="1">
      <c r="A225" s="1" t="s">
        <v>691</v>
      </c>
      <c r="B225" s="2">
        <v>46127.0</v>
      </c>
      <c r="C225" s="1" t="s">
        <v>692</v>
      </c>
      <c r="D225" s="1" t="s">
        <v>690</v>
      </c>
      <c r="E225" s="1" t="s">
        <v>197</v>
      </c>
      <c r="F225" s="1">
        <v>195.0</v>
      </c>
      <c r="G225" s="1" t="s">
        <v>693</v>
      </c>
      <c r="H225" s="1">
        <v>6332.0</v>
      </c>
      <c r="I225" s="1" t="s">
        <v>21</v>
      </c>
      <c r="J225" s="1" t="s">
        <v>22</v>
      </c>
      <c r="K225" s="1">
        <v>-22.417341</v>
      </c>
      <c r="L225" s="1">
        <v>-41.796171</v>
      </c>
      <c r="M225" s="1">
        <v>0.0</v>
      </c>
      <c r="Q225" s="1">
        <f t="shared" si="1"/>
        <v>0</v>
      </c>
    </row>
    <row r="226" ht="15.75" customHeight="1">
      <c r="A226" s="1" t="s">
        <v>694</v>
      </c>
      <c r="B226" s="2">
        <v>45738.0</v>
      </c>
      <c r="C226" s="1" t="s">
        <v>695</v>
      </c>
      <c r="D226" s="1" t="s">
        <v>690</v>
      </c>
      <c r="E226" s="1" t="s">
        <v>95</v>
      </c>
      <c r="F226" s="1">
        <v>1588.0</v>
      </c>
      <c r="G226" s="1" t="s">
        <v>696</v>
      </c>
      <c r="H226" s="1">
        <v>7565.0</v>
      </c>
      <c r="I226" s="1" t="s">
        <v>21</v>
      </c>
      <c r="J226" s="1" t="s">
        <v>86</v>
      </c>
      <c r="K226" s="1">
        <v>-22.407747</v>
      </c>
      <c r="L226" s="1">
        <v>-41.797762</v>
      </c>
      <c r="M226" s="1">
        <v>2.0</v>
      </c>
      <c r="Q226" s="1">
        <f t="shared" si="1"/>
        <v>0</v>
      </c>
    </row>
    <row r="227" ht="15.75" customHeight="1">
      <c r="A227" s="1" t="s">
        <v>697</v>
      </c>
      <c r="B227" s="2">
        <v>45854.0</v>
      </c>
      <c r="C227" s="1" t="s">
        <v>698</v>
      </c>
      <c r="D227" s="1" t="s">
        <v>690</v>
      </c>
      <c r="E227" s="1" t="s">
        <v>55</v>
      </c>
      <c r="F227" s="1">
        <v>2409.0</v>
      </c>
      <c r="G227" s="1" t="s">
        <v>699</v>
      </c>
      <c r="H227" s="1">
        <v>15492.0</v>
      </c>
      <c r="I227" s="1" t="s">
        <v>21</v>
      </c>
      <c r="J227" s="1" t="s">
        <v>86</v>
      </c>
      <c r="K227" s="1">
        <v>-22.350508</v>
      </c>
      <c r="L227" s="1">
        <v>-41.738442</v>
      </c>
      <c r="M227" s="1">
        <v>4.0</v>
      </c>
      <c r="Q227" s="1">
        <f t="shared" si="1"/>
        <v>0</v>
      </c>
    </row>
    <row r="228" ht="15.75" customHeight="1">
      <c r="A228" s="1" t="s">
        <v>700</v>
      </c>
      <c r="B228" s="2">
        <v>46142.0</v>
      </c>
      <c r="C228" s="1" t="s">
        <v>701</v>
      </c>
      <c r="D228" s="1" t="s">
        <v>690</v>
      </c>
      <c r="E228" s="1" t="s">
        <v>356</v>
      </c>
      <c r="F228" s="1">
        <v>0.0</v>
      </c>
      <c r="G228" s="1" t="s">
        <v>90</v>
      </c>
      <c r="H228" s="1">
        <v>9435.0</v>
      </c>
      <c r="I228" s="1" t="s">
        <v>198</v>
      </c>
      <c r="J228" s="1" t="s">
        <v>51</v>
      </c>
      <c r="K228" s="1">
        <v>-22.422521</v>
      </c>
      <c r="L228" s="1">
        <v>-41.731114</v>
      </c>
      <c r="M228" s="1">
        <v>1.0</v>
      </c>
      <c r="Q228" s="1">
        <f t="shared" si="1"/>
        <v>9435</v>
      </c>
    </row>
    <row r="229" ht="15.75" customHeight="1">
      <c r="A229" s="1" t="s">
        <v>702</v>
      </c>
      <c r="B229" s="2">
        <v>45843.0</v>
      </c>
      <c r="C229" s="1" t="s">
        <v>703</v>
      </c>
      <c r="D229" s="1" t="s">
        <v>690</v>
      </c>
      <c r="E229" s="1" t="s">
        <v>60</v>
      </c>
      <c r="F229" s="1">
        <v>2456.0</v>
      </c>
      <c r="G229" s="1" t="s">
        <v>704</v>
      </c>
      <c r="H229" s="1">
        <v>5651.0</v>
      </c>
      <c r="I229" s="1" t="s">
        <v>198</v>
      </c>
      <c r="J229" s="1" t="s">
        <v>86</v>
      </c>
      <c r="K229" s="1">
        <v>-22.449495</v>
      </c>
      <c r="L229" s="1">
        <v>-41.779286</v>
      </c>
      <c r="M229" s="1">
        <v>2.0</v>
      </c>
      <c r="Q229" s="1">
        <f t="shared" si="1"/>
        <v>5651</v>
      </c>
    </row>
    <row r="230" ht="15.75" customHeight="1">
      <c r="A230" s="1" t="s">
        <v>705</v>
      </c>
      <c r="B230" s="2">
        <v>45757.0</v>
      </c>
      <c r="C230" s="1" t="s">
        <v>706</v>
      </c>
      <c r="D230" s="1" t="s">
        <v>707</v>
      </c>
      <c r="E230" s="1" t="s">
        <v>210</v>
      </c>
      <c r="F230" s="1">
        <v>1588.0</v>
      </c>
      <c r="G230" s="1" t="s">
        <v>708</v>
      </c>
      <c r="H230" s="1">
        <v>6735.0</v>
      </c>
      <c r="I230" s="1" t="s">
        <v>198</v>
      </c>
      <c r="J230" s="1" t="s">
        <v>34</v>
      </c>
      <c r="K230" s="1">
        <v>-22.448193</v>
      </c>
      <c r="L230" s="1">
        <v>-41.767539</v>
      </c>
      <c r="M230" s="1">
        <v>1.0</v>
      </c>
      <c r="Q230" s="1">
        <f t="shared" si="1"/>
        <v>6735</v>
      </c>
    </row>
    <row r="231" ht="15.75" customHeight="1">
      <c r="A231" s="1" t="s">
        <v>709</v>
      </c>
      <c r="B231" s="2">
        <v>45994.0</v>
      </c>
      <c r="C231" s="1" t="s">
        <v>710</v>
      </c>
      <c r="D231" s="1" t="s">
        <v>707</v>
      </c>
      <c r="E231" s="1" t="s">
        <v>121</v>
      </c>
      <c r="F231" s="1">
        <v>7364.0</v>
      </c>
      <c r="G231" s="1" t="s">
        <v>711</v>
      </c>
      <c r="H231" s="1">
        <v>27623.0</v>
      </c>
      <c r="I231" s="1" t="s">
        <v>198</v>
      </c>
      <c r="J231" s="1" t="s">
        <v>51</v>
      </c>
      <c r="K231" s="1">
        <v>-22.40244</v>
      </c>
      <c r="L231" s="1">
        <v>-41.744234</v>
      </c>
      <c r="M231" s="1">
        <v>4.0</v>
      </c>
      <c r="Q231" s="1">
        <f t="shared" si="1"/>
        <v>27623</v>
      </c>
    </row>
    <row r="232" ht="15.75" customHeight="1">
      <c r="A232" s="1" t="s">
        <v>712</v>
      </c>
      <c r="B232" s="2">
        <v>46113.0</v>
      </c>
      <c r="C232" s="1" t="s">
        <v>713</v>
      </c>
      <c r="D232" s="1" t="s">
        <v>707</v>
      </c>
      <c r="E232" s="1" t="s">
        <v>65</v>
      </c>
      <c r="F232" s="1">
        <v>3840.0</v>
      </c>
      <c r="G232" s="1" t="s">
        <v>714</v>
      </c>
      <c r="H232" s="1">
        <v>13448.0</v>
      </c>
      <c r="I232" s="1" t="s">
        <v>21</v>
      </c>
      <c r="J232" s="1" t="s">
        <v>205</v>
      </c>
      <c r="K232" s="1">
        <v>-22.364564</v>
      </c>
      <c r="L232" s="1">
        <v>-41.750103</v>
      </c>
      <c r="M232" s="1">
        <v>1.0</v>
      </c>
      <c r="Q232" s="1">
        <f t="shared" si="1"/>
        <v>0</v>
      </c>
    </row>
    <row r="233" ht="15.75" customHeight="1">
      <c r="A233" s="1" t="s">
        <v>715</v>
      </c>
      <c r="B233" s="2">
        <v>46070.0</v>
      </c>
      <c r="C233" s="1" t="s">
        <v>716</v>
      </c>
      <c r="D233" s="1" t="s">
        <v>707</v>
      </c>
      <c r="E233" s="1" t="s">
        <v>356</v>
      </c>
      <c r="F233" s="1">
        <v>0.0</v>
      </c>
      <c r="G233" s="1" t="s">
        <v>717</v>
      </c>
      <c r="H233" s="1">
        <v>10505.0</v>
      </c>
      <c r="I233" s="1" t="s">
        <v>21</v>
      </c>
      <c r="J233" s="1" t="s">
        <v>22</v>
      </c>
      <c r="K233" s="1">
        <v>-22.386862</v>
      </c>
      <c r="L233" s="1">
        <v>-41.743867</v>
      </c>
      <c r="M233" s="1">
        <v>0.0</v>
      </c>
      <c r="Q233" s="1">
        <f t="shared" si="1"/>
        <v>0</v>
      </c>
    </row>
    <row r="234" ht="15.75" customHeight="1">
      <c r="A234" s="1" t="s">
        <v>718</v>
      </c>
      <c r="B234" s="2">
        <v>46036.0</v>
      </c>
      <c r="C234" s="1" t="s">
        <v>586</v>
      </c>
      <c r="D234" s="1" t="s">
        <v>707</v>
      </c>
      <c r="E234" s="1" t="s">
        <v>64</v>
      </c>
      <c r="F234" s="1">
        <v>1136.0</v>
      </c>
      <c r="G234" s="1" t="s">
        <v>44</v>
      </c>
      <c r="H234" s="1">
        <v>6642.0</v>
      </c>
      <c r="I234" s="1" t="s">
        <v>21</v>
      </c>
      <c r="J234" s="1" t="s">
        <v>86</v>
      </c>
      <c r="K234" s="1">
        <v>-22.374914</v>
      </c>
      <c r="L234" s="1">
        <v>-41.75485</v>
      </c>
      <c r="M234" s="1">
        <v>2.0</v>
      </c>
      <c r="Q234" s="1">
        <f t="shared" si="1"/>
        <v>0</v>
      </c>
    </row>
    <row r="235" ht="15.75" customHeight="1">
      <c r="A235" s="1" t="s">
        <v>719</v>
      </c>
      <c r="B235" s="2">
        <v>46018.0</v>
      </c>
      <c r="C235" s="1" t="s">
        <v>720</v>
      </c>
      <c r="D235" s="1" t="s">
        <v>707</v>
      </c>
      <c r="E235" s="1" t="s">
        <v>315</v>
      </c>
      <c r="F235" s="1">
        <v>821.0</v>
      </c>
      <c r="G235" s="1" t="s">
        <v>163</v>
      </c>
      <c r="H235" s="1">
        <v>2880.0</v>
      </c>
      <c r="I235" s="1" t="s">
        <v>21</v>
      </c>
      <c r="J235" s="1" t="s">
        <v>51</v>
      </c>
      <c r="K235" s="1">
        <v>-22.408461</v>
      </c>
      <c r="L235" s="1">
        <v>-41.723506</v>
      </c>
      <c r="M235" s="1">
        <v>4.0</v>
      </c>
      <c r="Q235" s="1">
        <f t="shared" si="1"/>
        <v>0</v>
      </c>
    </row>
    <row r="236" ht="15.75" customHeight="1">
      <c r="A236" s="1" t="s">
        <v>721</v>
      </c>
      <c r="B236" s="2">
        <v>45792.0</v>
      </c>
      <c r="C236" s="1" t="s">
        <v>722</v>
      </c>
      <c r="D236" s="1" t="s">
        <v>707</v>
      </c>
      <c r="E236" s="1" t="s">
        <v>185</v>
      </c>
      <c r="F236" s="1">
        <v>3162.0</v>
      </c>
      <c r="G236" s="1" t="s">
        <v>723</v>
      </c>
      <c r="H236" s="1">
        <v>6707.0</v>
      </c>
      <c r="I236" s="1" t="s">
        <v>21</v>
      </c>
      <c r="J236" s="1" t="s">
        <v>22</v>
      </c>
      <c r="K236" s="1">
        <v>-22.440302</v>
      </c>
      <c r="L236" s="1">
        <v>-41.778169</v>
      </c>
      <c r="M236" s="1">
        <v>3.0</v>
      </c>
      <c r="Q236" s="1">
        <f t="shared" si="1"/>
        <v>0</v>
      </c>
    </row>
    <row r="237" ht="15.75" customHeight="1">
      <c r="A237" s="1" t="s">
        <v>724</v>
      </c>
      <c r="B237" s="2">
        <v>46068.0</v>
      </c>
      <c r="C237" s="1" t="s">
        <v>725</v>
      </c>
      <c r="D237" s="1" t="s">
        <v>707</v>
      </c>
      <c r="E237" s="1" t="s">
        <v>344</v>
      </c>
      <c r="F237" s="1">
        <v>2512.0</v>
      </c>
      <c r="G237" s="1" t="s">
        <v>726</v>
      </c>
      <c r="H237" s="1">
        <v>21200.0</v>
      </c>
      <c r="I237" s="1" t="s">
        <v>21</v>
      </c>
      <c r="J237" s="1" t="s">
        <v>51</v>
      </c>
      <c r="K237" s="1">
        <v>-22.414798</v>
      </c>
      <c r="L237" s="1">
        <v>-41.778225</v>
      </c>
      <c r="M237" s="1">
        <v>4.0</v>
      </c>
      <c r="Q237" s="1">
        <f t="shared" si="1"/>
        <v>0</v>
      </c>
    </row>
    <row r="238" ht="15.75" customHeight="1">
      <c r="A238" s="1" t="s">
        <v>727</v>
      </c>
      <c r="B238" s="2">
        <v>45766.0</v>
      </c>
      <c r="C238" s="1" t="s">
        <v>462</v>
      </c>
      <c r="D238" s="1" t="s">
        <v>707</v>
      </c>
      <c r="E238" s="1" t="s">
        <v>95</v>
      </c>
      <c r="F238" s="1">
        <v>1588.0</v>
      </c>
      <c r="G238" s="1" t="s">
        <v>714</v>
      </c>
      <c r="H238" s="1">
        <v>11196.0</v>
      </c>
      <c r="I238" s="1" t="s">
        <v>21</v>
      </c>
      <c r="J238" s="1" t="s">
        <v>51</v>
      </c>
      <c r="K238" s="1">
        <v>-22.42749</v>
      </c>
      <c r="L238" s="1">
        <v>-41.759603</v>
      </c>
      <c r="M238" s="1">
        <v>2.0</v>
      </c>
      <c r="Q238" s="1">
        <f t="shared" si="1"/>
        <v>0</v>
      </c>
    </row>
    <row r="239" ht="15.75" customHeight="1">
      <c r="A239" s="1" t="s">
        <v>728</v>
      </c>
      <c r="B239" s="2">
        <v>45839.0</v>
      </c>
      <c r="C239" s="1" t="s">
        <v>681</v>
      </c>
      <c r="D239" s="1" t="s">
        <v>707</v>
      </c>
      <c r="E239" s="1" t="s">
        <v>315</v>
      </c>
      <c r="F239" s="1">
        <v>821.0</v>
      </c>
      <c r="G239" s="1" t="s">
        <v>729</v>
      </c>
      <c r="H239" s="1">
        <v>8158.0</v>
      </c>
      <c r="I239" s="1" t="s">
        <v>21</v>
      </c>
      <c r="J239" s="1" t="s">
        <v>86</v>
      </c>
      <c r="K239" s="1">
        <v>-22.449666</v>
      </c>
      <c r="L239" s="1">
        <v>-41.717013</v>
      </c>
      <c r="M239" s="1">
        <v>3.0</v>
      </c>
      <c r="Q239" s="1">
        <f t="shared" si="1"/>
        <v>0</v>
      </c>
    </row>
    <row r="240" ht="15.75" customHeight="1">
      <c r="A240" s="1" t="s">
        <v>730</v>
      </c>
      <c r="B240" s="2">
        <v>46086.0</v>
      </c>
      <c r="C240" s="1" t="s">
        <v>720</v>
      </c>
      <c r="D240" s="1" t="s">
        <v>707</v>
      </c>
      <c r="E240" s="1" t="s">
        <v>315</v>
      </c>
      <c r="F240" s="1">
        <v>821.0</v>
      </c>
      <c r="G240" s="1" t="s">
        <v>731</v>
      </c>
      <c r="H240" s="1">
        <v>6742.0</v>
      </c>
      <c r="I240" s="1" t="s">
        <v>21</v>
      </c>
      <c r="J240" s="1" t="s">
        <v>51</v>
      </c>
      <c r="K240" s="1">
        <v>-22.431113</v>
      </c>
      <c r="L240" s="1">
        <v>-41.797096</v>
      </c>
      <c r="M240" s="1">
        <v>3.0</v>
      </c>
      <c r="Q240" s="1">
        <f t="shared" si="1"/>
        <v>0</v>
      </c>
    </row>
    <row r="241" ht="15.75" customHeight="1">
      <c r="A241" s="1" t="s">
        <v>732</v>
      </c>
      <c r="B241" s="2">
        <v>46076.0</v>
      </c>
      <c r="C241" s="1" t="s">
        <v>733</v>
      </c>
      <c r="D241" s="1" t="s">
        <v>707</v>
      </c>
      <c r="E241" s="1" t="s">
        <v>290</v>
      </c>
      <c r="F241" s="1">
        <v>1588.0</v>
      </c>
      <c r="G241" s="1" t="s">
        <v>38</v>
      </c>
      <c r="H241" s="1">
        <v>4563.0</v>
      </c>
      <c r="I241" s="1" t="s">
        <v>21</v>
      </c>
      <c r="J241" s="1" t="s">
        <v>80</v>
      </c>
      <c r="K241" s="1">
        <v>-22.389019</v>
      </c>
      <c r="L241" s="1">
        <v>-41.783354</v>
      </c>
      <c r="M241" s="1">
        <v>0.0</v>
      </c>
      <c r="Q241" s="1">
        <f t="shared" si="1"/>
        <v>0</v>
      </c>
    </row>
    <row r="242" ht="15.75" customHeight="1">
      <c r="A242" s="1" t="s">
        <v>734</v>
      </c>
      <c r="B242" s="2">
        <v>45681.0</v>
      </c>
      <c r="C242" s="1" t="s">
        <v>735</v>
      </c>
      <c r="D242" s="1" t="s">
        <v>736</v>
      </c>
      <c r="E242" s="1" t="s">
        <v>38</v>
      </c>
      <c r="F242" s="1">
        <v>2975.0</v>
      </c>
      <c r="G242" s="1" t="s">
        <v>737</v>
      </c>
      <c r="H242" s="1">
        <v>13998.0</v>
      </c>
      <c r="I242" s="1" t="s">
        <v>21</v>
      </c>
      <c r="J242" s="1" t="s">
        <v>51</v>
      </c>
      <c r="K242" s="1">
        <v>-22.394794</v>
      </c>
      <c r="L242" s="1">
        <v>-41.713656</v>
      </c>
      <c r="M242" s="1">
        <v>4.0</v>
      </c>
      <c r="Q242" s="1">
        <f t="shared" si="1"/>
        <v>0</v>
      </c>
    </row>
    <row r="243" ht="15.75" customHeight="1">
      <c r="A243" s="1" t="s">
        <v>738</v>
      </c>
      <c r="B243" s="2">
        <v>45837.0</v>
      </c>
      <c r="C243" s="1" t="s">
        <v>739</v>
      </c>
      <c r="D243" s="1" t="s">
        <v>736</v>
      </c>
      <c r="E243" s="1" t="s">
        <v>69</v>
      </c>
      <c r="F243" s="1">
        <v>4825.0</v>
      </c>
      <c r="G243" s="1" t="s">
        <v>740</v>
      </c>
      <c r="H243" s="1">
        <v>10505.0</v>
      </c>
      <c r="I243" s="1" t="s">
        <v>21</v>
      </c>
      <c r="J243" s="1" t="s">
        <v>34</v>
      </c>
      <c r="K243" s="1">
        <v>-22.417728</v>
      </c>
      <c r="L243" s="1">
        <v>-41.770702</v>
      </c>
      <c r="M243" s="1">
        <v>3.0</v>
      </c>
      <c r="Q243" s="1">
        <f t="shared" si="1"/>
        <v>0</v>
      </c>
    </row>
    <row r="244" ht="15.75" customHeight="1">
      <c r="A244" s="1" t="s">
        <v>741</v>
      </c>
      <c r="B244" s="2">
        <v>46128.0</v>
      </c>
      <c r="C244" s="1" t="s">
        <v>742</v>
      </c>
      <c r="D244" s="1" t="s">
        <v>736</v>
      </c>
      <c r="E244" s="1" t="s">
        <v>19</v>
      </c>
      <c r="F244" s="1">
        <v>1136.0</v>
      </c>
      <c r="G244" s="1" t="s">
        <v>59</v>
      </c>
      <c r="H244" s="1">
        <v>2926.0</v>
      </c>
      <c r="I244" s="1" t="s">
        <v>198</v>
      </c>
      <c r="J244" s="1" t="s">
        <v>205</v>
      </c>
      <c r="K244" s="1">
        <v>-22.351029</v>
      </c>
      <c r="L244" s="1">
        <v>-41.720325</v>
      </c>
      <c r="M244" s="1">
        <v>1.0</v>
      </c>
      <c r="Q244" s="1">
        <f t="shared" si="1"/>
        <v>2926</v>
      </c>
    </row>
    <row r="245" ht="15.75" customHeight="1">
      <c r="A245" s="1" t="s">
        <v>743</v>
      </c>
      <c r="B245" s="2">
        <v>45821.0</v>
      </c>
      <c r="C245" s="1" t="s">
        <v>744</v>
      </c>
      <c r="D245" s="1" t="s">
        <v>736</v>
      </c>
      <c r="E245" s="1" t="s">
        <v>315</v>
      </c>
      <c r="F245" s="1">
        <v>821.0</v>
      </c>
      <c r="G245" s="1" t="s">
        <v>745</v>
      </c>
      <c r="H245" s="1">
        <v>8309.0</v>
      </c>
      <c r="I245" s="1" t="s">
        <v>198</v>
      </c>
      <c r="J245" s="1" t="s">
        <v>205</v>
      </c>
      <c r="K245" s="1">
        <v>-22.377795</v>
      </c>
      <c r="L245" s="1">
        <v>-41.793016</v>
      </c>
      <c r="M245" s="1">
        <v>1.0</v>
      </c>
      <c r="Q245" s="1">
        <f t="shared" si="1"/>
        <v>8309</v>
      </c>
    </row>
    <row r="246" ht="15.75" customHeight="1">
      <c r="A246" s="1" t="s">
        <v>746</v>
      </c>
      <c r="B246" s="2">
        <v>45730.0</v>
      </c>
      <c r="C246" s="1" t="s">
        <v>747</v>
      </c>
      <c r="D246" s="1" t="s">
        <v>736</v>
      </c>
      <c r="E246" s="1" t="s">
        <v>297</v>
      </c>
      <c r="F246" s="1">
        <v>1136.0</v>
      </c>
      <c r="G246" s="1" t="s">
        <v>748</v>
      </c>
      <c r="H246" s="1">
        <v>14588.0</v>
      </c>
      <c r="I246" s="1" t="s">
        <v>198</v>
      </c>
      <c r="J246" s="1" t="s">
        <v>86</v>
      </c>
      <c r="K246" s="1">
        <v>-22.361664</v>
      </c>
      <c r="L246" s="1">
        <v>-41.746266</v>
      </c>
      <c r="M246" s="1">
        <v>3.0</v>
      </c>
      <c r="Q246" s="1">
        <f t="shared" si="1"/>
        <v>14588</v>
      </c>
    </row>
    <row r="247" ht="15.75" customHeight="1">
      <c r="A247" s="1" t="s">
        <v>749</v>
      </c>
      <c r="B247" s="2">
        <v>46150.0</v>
      </c>
      <c r="C247" s="1" t="s">
        <v>750</v>
      </c>
      <c r="D247" s="1" t="s">
        <v>751</v>
      </c>
      <c r="E247" s="1" t="s">
        <v>95</v>
      </c>
      <c r="F247" s="1">
        <v>1588.0</v>
      </c>
      <c r="G247" s="1" t="s">
        <v>752</v>
      </c>
      <c r="H247" s="1">
        <v>5236.0</v>
      </c>
      <c r="I247" s="1" t="s">
        <v>21</v>
      </c>
      <c r="J247" s="1" t="s">
        <v>86</v>
      </c>
      <c r="K247" s="1">
        <v>-22.368834</v>
      </c>
      <c r="L247" s="1">
        <v>-41.717169</v>
      </c>
      <c r="M247" s="1">
        <v>0.0</v>
      </c>
      <c r="Q247" s="1">
        <f t="shared" si="1"/>
        <v>0</v>
      </c>
    </row>
    <row r="248" ht="15.75" customHeight="1">
      <c r="A248" s="1" t="s">
        <v>753</v>
      </c>
      <c r="B248" s="2">
        <v>46108.0</v>
      </c>
      <c r="C248" s="1" t="s">
        <v>516</v>
      </c>
      <c r="D248" s="1" t="s">
        <v>751</v>
      </c>
      <c r="E248" s="1" t="s">
        <v>297</v>
      </c>
      <c r="F248" s="1">
        <v>1136.0</v>
      </c>
      <c r="G248" s="1" t="s">
        <v>754</v>
      </c>
      <c r="H248" s="1">
        <v>4783.0</v>
      </c>
      <c r="I248" s="1" t="s">
        <v>21</v>
      </c>
      <c r="J248" s="1" t="s">
        <v>22</v>
      </c>
      <c r="K248" s="1">
        <v>-22.439638</v>
      </c>
      <c r="L248" s="1">
        <v>-41.715293</v>
      </c>
      <c r="M248" s="1">
        <v>3.0</v>
      </c>
      <c r="Q248" s="1">
        <f t="shared" si="1"/>
        <v>0</v>
      </c>
    </row>
    <row r="249" ht="15.75" customHeight="1">
      <c r="A249" s="1" t="s">
        <v>755</v>
      </c>
      <c r="B249" s="2">
        <v>46080.0</v>
      </c>
      <c r="C249" s="1" t="s">
        <v>57</v>
      </c>
      <c r="D249" s="1" t="s">
        <v>751</v>
      </c>
      <c r="E249" s="1" t="s">
        <v>59</v>
      </c>
      <c r="F249" s="1">
        <v>1790.0</v>
      </c>
      <c r="G249" s="1" t="s">
        <v>69</v>
      </c>
      <c r="H249" s="1">
        <v>6615.0</v>
      </c>
      <c r="I249" s="1" t="s">
        <v>198</v>
      </c>
      <c r="J249" s="1" t="s">
        <v>28</v>
      </c>
      <c r="K249" s="1">
        <v>-22.358703</v>
      </c>
      <c r="L249" s="1">
        <v>-41.720445</v>
      </c>
      <c r="M249" s="1">
        <v>2.0</v>
      </c>
      <c r="Q249" s="1">
        <f t="shared" si="1"/>
        <v>6615</v>
      </c>
    </row>
    <row r="250" ht="15.75" customHeight="1">
      <c r="A250" s="1" t="s">
        <v>756</v>
      </c>
      <c r="B250" s="2">
        <v>45733.0</v>
      </c>
      <c r="C250" s="1" t="s">
        <v>651</v>
      </c>
      <c r="D250" s="1" t="s">
        <v>751</v>
      </c>
      <c r="E250" s="1" t="s">
        <v>44</v>
      </c>
      <c r="F250" s="1">
        <v>5506.0</v>
      </c>
      <c r="G250" s="1" t="s">
        <v>510</v>
      </c>
      <c r="H250" s="1">
        <v>6836.0</v>
      </c>
      <c r="I250" s="1" t="s">
        <v>21</v>
      </c>
      <c r="J250" s="1" t="s">
        <v>205</v>
      </c>
      <c r="K250" s="1">
        <v>-22.37475</v>
      </c>
      <c r="L250" s="1">
        <v>-41.724302</v>
      </c>
      <c r="M250" s="1">
        <v>3.0</v>
      </c>
      <c r="Q250" s="1">
        <f t="shared" si="1"/>
        <v>0</v>
      </c>
    </row>
    <row r="251" ht="15.75" customHeight="1">
      <c r="A251" s="1" t="s">
        <v>757</v>
      </c>
      <c r="B251" s="2">
        <v>45922.0</v>
      </c>
      <c r="C251" s="1" t="s">
        <v>713</v>
      </c>
      <c r="D251" s="1" t="s">
        <v>758</v>
      </c>
      <c r="E251" s="1" t="s">
        <v>65</v>
      </c>
      <c r="F251" s="1">
        <v>3840.0</v>
      </c>
      <c r="G251" s="1" t="s">
        <v>759</v>
      </c>
      <c r="H251" s="1">
        <v>5797.0</v>
      </c>
      <c r="I251" s="1" t="s">
        <v>198</v>
      </c>
      <c r="J251" s="1" t="s">
        <v>86</v>
      </c>
      <c r="K251" s="1">
        <v>-22.390557</v>
      </c>
      <c r="L251" s="1">
        <v>-41.723868</v>
      </c>
      <c r="M251" s="1">
        <v>4.0</v>
      </c>
      <c r="Q251" s="1">
        <f t="shared" si="1"/>
        <v>5797</v>
      </c>
    </row>
    <row r="252" ht="15.75" customHeight="1">
      <c r="A252" s="1" t="s">
        <v>760</v>
      </c>
      <c r="B252" s="2">
        <v>46029.0</v>
      </c>
      <c r="C252" s="1" t="s">
        <v>761</v>
      </c>
      <c r="D252" s="1" t="s">
        <v>758</v>
      </c>
      <c r="E252" s="1" t="s">
        <v>163</v>
      </c>
      <c r="F252" s="1">
        <v>2059.0</v>
      </c>
      <c r="G252" s="1" t="s">
        <v>762</v>
      </c>
      <c r="H252" s="1">
        <v>17273.0</v>
      </c>
      <c r="I252" s="1" t="s">
        <v>198</v>
      </c>
      <c r="J252" s="1" t="s">
        <v>86</v>
      </c>
      <c r="K252" s="1">
        <v>-22.355521</v>
      </c>
      <c r="L252" s="1">
        <v>-41.78417</v>
      </c>
      <c r="M252" s="1">
        <v>2.0</v>
      </c>
      <c r="Q252" s="1">
        <f t="shared" si="1"/>
        <v>17273</v>
      </c>
    </row>
    <row r="253" ht="15.75" customHeight="1">
      <c r="A253" s="1" t="s">
        <v>763</v>
      </c>
      <c r="B253" s="2">
        <v>45959.0</v>
      </c>
      <c r="C253" s="1" t="s">
        <v>764</v>
      </c>
      <c r="D253" s="1" t="s">
        <v>758</v>
      </c>
      <c r="E253" s="1" t="s">
        <v>38</v>
      </c>
      <c r="F253" s="1">
        <v>2975.0</v>
      </c>
      <c r="G253" s="1" t="s">
        <v>765</v>
      </c>
      <c r="H253" s="1">
        <v>8649.0</v>
      </c>
      <c r="I253" s="1" t="s">
        <v>21</v>
      </c>
      <c r="J253" s="1" t="s">
        <v>28</v>
      </c>
      <c r="K253" s="1">
        <v>-22.435347</v>
      </c>
      <c r="L253" s="1">
        <v>-41.770767</v>
      </c>
      <c r="M253" s="1">
        <v>1.0</v>
      </c>
      <c r="Q253" s="1">
        <f t="shared" si="1"/>
        <v>0</v>
      </c>
    </row>
    <row r="254" ht="15.75" customHeight="1">
      <c r="A254" s="1" t="s">
        <v>766</v>
      </c>
      <c r="B254" s="2">
        <v>45874.0</v>
      </c>
      <c r="C254" s="1" t="s">
        <v>579</v>
      </c>
      <c r="D254" s="1" t="s">
        <v>758</v>
      </c>
      <c r="E254" s="1" t="s">
        <v>177</v>
      </c>
      <c r="F254" s="1">
        <v>3271.0</v>
      </c>
      <c r="G254" s="1" t="s">
        <v>767</v>
      </c>
      <c r="H254" s="1">
        <v>7371.0</v>
      </c>
      <c r="I254" s="1" t="s">
        <v>21</v>
      </c>
      <c r="J254" s="1" t="s">
        <v>86</v>
      </c>
      <c r="K254" s="1">
        <v>-22.435164</v>
      </c>
      <c r="L254" s="1">
        <v>-41.798793</v>
      </c>
      <c r="M254" s="1">
        <v>4.0</v>
      </c>
      <c r="Q254" s="1">
        <f t="shared" si="1"/>
        <v>0</v>
      </c>
    </row>
    <row r="255" ht="15.75" customHeight="1">
      <c r="A255" s="1" t="s">
        <v>768</v>
      </c>
      <c r="B255" s="2">
        <v>45832.0</v>
      </c>
      <c r="C255" s="1" t="s">
        <v>268</v>
      </c>
      <c r="D255" s="1" t="s">
        <v>769</v>
      </c>
      <c r="E255" s="1" t="s">
        <v>136</v>
      </c>
      <c r="F255" s="1">
        <v>1588.0</v>
      </c>
      <c r="G255" s="1" t="s">
        <v>770</v>
      </c>
      <c r="H255" s="1">
        <v>5235.0</v>
      </c>
      <c r="I255" s="1" t="s">
        <v>198</v>
      </c>
      <c r="J255" s="1" t="s">
        <v>28</v>
      </c>
      <c r="K255" s="1">
        <v>-22.391286</v>
      </c>
      <c r="L255" s="1">
        <v>-41.74989</v>
      </c>
      <c r="M255" s="1">
        <v>2.0</v>
      </c>
      <c r="Q255" s="1">
        <f t="shared" si="1"/>
        <v>5235</v>
      </c>
    </row>
    <row r="256" ht="15.75" customHeight="1">
      <c r="A256" s="1" t="s">
        <v>771</v>
      </c>
      <c r="B256" s="2">
        <v>45831.0</v>
      </c>
      <c r="C256" s="1" t="s">
        <v>772</v>
      </c>
      <c r="D256" s="1" t="s">
        <v>769</v>
      </c>
      <c r="E256" s="1" t="s">
        <v>305</v>
      </c>
      <c r="F256" s="1">
        <v>2059.0</v>
      </c>
      <c r="G256" s="1" t="s">
        <v>773</v>
      </c>
      <c r="H256" s="1">
        <v>5525.0</v>
      </c>
      <c r="I256" s="1" t="s">
        <v>21</v>
      </c>
      <c r="J256" s="1" t="s">
        <v>205</v>
      </c>
      <c r="K256" s="1">
        <v>-22.432461</v>
      </c>
      <c r="L256" s="1">
        <v>-41.710287</v>
      </c>
      <c r="M256" s="1">
        <v>4.0</v>
      </c>
      <c r="Q256" s="1">
        <f t="shared" si="1"/>
        <v>0</v>
      </c>
    </row>
    <row r="257" ht="15.75" customHeight="1">
      <c r="A257" s="1" t="s">
        <v>774</v>
      </c>
      <c r="B257" s="2">
        <v>45869.0</v>
      </c>
      <c r="C257" s="1" t="s">
        <v>775</v>
      </c>
      <c r="D257" s="1" t="s">
        <v>776</v>
      </c>
      <c r="E257" s="1" t="s">
        <v>104</v>
      </c>
      <c r="F257" s="1">
        <v>1136.0</v>
      </c>
      <c r="G257" s="1" t="s">
        <v>777</v>
      </c>
      <c r="H257" s="1">
        <v>12528.0</v>
      </c>
      <c r="I257" s="1" t="s">
        <v>198</v>
      </c>
      <c r="J257" s="1" t="s">
        <v>28</v>
      </c>
      <c r="K257" s="1">
        <v>-22.422168</v>
      </c>
      <c r="L257" s="1">
        <v>-41.722199</v>
      </c>
      <c r="M257" s="1">
        <v>1.0</v>
      </c>
      <c r="Q257" s="1">
        <f t="shared" si="1"/>
        <v>12528</v>
      </c>
    </row>
    <row r="258" ht="15.75" customHeight="1">
      <c r="A258" s="1" t="s">
        <v>778</v>
      </c>
      <c r="B258" s="2">
        <v>45670.0</v>
      </c>
      <c r="C258" s="1" t="s">
        <v>365</v>
      </c>
      <c r="D258" s="1" t="s">
        <v>779</v>
      </c>
      <c r="E258" s="1" t="s">
        <v>344</v>
      </c>
      <c r="F258" s="1">
        <v>2512.0</v>
      </c>
      <c r="G258" s="1" t="s">
        <v>780</v>
      </c>
      <c r="H258" s="1">
        <v>11194.0</v>
      </c>
      <c r="I258" s="1" t="s">
        <v>198</v>
      </c>
      <c r="J258" s="1" t="s">
        <v>34</v>
      </c>
      <c r="K258" s="1">
        <v>-22.375862</v>
      </c>
      <c r="L258" s="1">
        <v>-41.763644</v>
      </c>
      <c r="M258" s="1">
        <v>4.0</v>
      </c>
      <c r="Q258" s="1">
        <f t="shared" si="1"/>
        <v>11194</v>
      </c>
    </row>
    <row r="259" ht="15.75" customHeight="1">
      <c r="A259" s="1" t="s">
        <v>781</v>
      </c>
      <c r="B259" s="2">
        <v>45995.0</v>
      </c>
      <c r="C259" s="1" t="s">
        <v>630</v>
      </c>
      <c r="D259" s="1" t="s">
        <v>779</v>
      </c>
      <c r="E259" s="1" t="s">
        <v>297</v>
      </c>
      <c r="F259" s="1">
        <v>1136.0</v>
      </c>
      <c r="G259" s="1" t="s">
        <v>782</v>
      </c>
      <c r="H259" s="1">
        <v>6160.0</v>
      </c>
      <c r="I259" s="1" t="s">
        <v>21</v>
      </c>
      <c r="J259" s="1" t="s">
        <v>22</v>
      </c>
      <c r="K259" s="1">
        <v>-22.422853</v>
      </c>
      <c r="L259" s="1">
        <v>-41.703834</v>
      </c>
      <c r="M259" s="1">
        <v>4.0</v>
      </c>
      <c r="Q259" s="1">
        <f t="shared" si="1"/>
        <v>0</v>
      </c>
    </row>
    <row r="260" ht="15.75" customHeight="1">
      <c r="A260" s="1" t="s">
        <v>783</v>
      </c>
      <c r="B260" s="2">
        <v>46115.0</v>
      </c>
      <c r="C260" s="1" t="s">
        <v>716</v>
      </c>
      <c r="D260" s="1" t="s">
        <v>779</v>
      </c>
      <c r="E260" s="1" t="s">
        <v>356</v>
      </c>
      <c r="F260" s="1">
        <v>0.0</v>
      </c>
      <c r="G260" s="1" t="s">
        <v>90</v>
      </c>
      <c r="H260" s="1">
        <v>9435.0</v>
      </c>
      <c r="I260" s="1" t="s">
        <v>21</v>
      </c>
      <c r="J260" s="1" t="s">
        <v>34</v>
      </c>
      <c r="K260" s="1">
        <v>-22.425531</v>
      </c>
      <c r="L260" s="1">
        <v>-41.720273</v>
      </c>
      <c r="M260" s="1">
        <v>4.0</v>
      </c>
      <c r="Q260" s="1">
        <f t="shared" si="1"/>
        <v>0</v>
      </c>
    </row>
    <row r="261" ht="15.75" customHeight="1">
      <c r="A261" s="1" t="s">
        <v>784</v>
      </c>
      <c r="B261" s="2">
        <v>45839.0</v>
      </c>
      <c r="C261" s="1" t="s">
        <v>785</v>
      </c>
      <c r="D261" s="1" t="s">
        <v>779</v>
      </c>
      <c r="E261" s="1" t="s">
        <v>60</v>
      </c>
      <c r="F261" s="1">
        <v>2456.0</v>
      </c>
      <c r="G261" s="1" t="s">
        <v>786</v>
      </c>
      <c r="H261" s="1">
        <v>6822.0</v>
      </c>
      <c r="I261" s="1" t="s">
        <v>198</v>
      </c>
      <c r="J261" s="1" t="s">
        <v>86</v>
      </c>
      <c r="K261" s="1">
        <v>-22.394802</v>
      </c>
      <c r="L261" s="1">
        <v>-41.790864</v>
      </c>
      <c r="M261" s="1">
        <v>0.0</v>
      </c>
      <c r="Q261" s="1">
        <f t="shared" si="1"/>
        <v>6822</v>
      </c>
    </row>
    <row r="262" ht="15.75" customHeight="1">
      <c r="A262" s="1" t="s">
        <v>787</v>
      </c>
      <c r="B262" s="2">
        <v>45720.0</v>
      </c>
      <c r="C262" s="1" t="s">
        <v>788</v>
      </c>
      <c r="D262" s="1" t="s">
        <v>789</v>
      </c>
      <c r="E262" s="1" t="s">
        <v>436</v>
      </c>
      <c r="F262" s="1">
        <v>2975.0</v>
      </c>
      <c r="G262" s="1" t="s">
        <v>790</v>
      </c>
      <c r="H262" s="1">
        <v>12129.0</v>
      </c>
      <c r="I262" s="1" t="s">
        <v>198</v>
      </c>
      <c r="J262" s="1" t="s">
        <v>34</v>
      </c>
      <c r="K262" s="1">
        <v>-22.425606</v>
      </c>
      <c r="L262" s="1">
        <v>-41.723832</v>
      </c>
      <c r="M262" s="1">
        <v>1.0</v>
      </c>
      <c r="Q262" s="1">
        <f t="shared" si="1"/>
        <v>12129</v>
      </c>
    </row>
    <row r="263" ht="15.75" customHeight="1">
      <c r="A263" s="1" t="s">
        <v>791</v>
      </c>
      <c r="B263" s="2">
        <v>45984.0</v>
      </c>
      <c r="C263" s="1" t="s">
        <v>792</v>
      </c>
      <c r="D263" s="1" t="s">
        <v>793</v>
      </c>
      <c r="E263" s="1" t="s">
        <v>45</v>
      </c>
      <c r="F263" s="1">
        <v>3162.0</v>
      </c>
      <c r="G263" s="1" t="s">
        <v>794</v>
      </c>
      <c r="H263" s="1">
        <v>4415.0</v>
      </c>
      <c r="I263" s="1" t="s">
        <v>21</v>
      </c>
      <c r="J263" s="1" t="s">
        <v>34</v>
      </c>
      <c r="K263" s="1">
        <v>-22.40217</v>
      </c>
      <c r="L263" s="1">
        <v>-41.75581</v>
      </c>
      <c r="M263" s="1">
        <v>0.0</v>
      </c>
      <c r="Q263" s="1">
        <f t="shared" si="1"/>
        <v>0</v>
      </c>
    </row>
    <row r="264" ht="15.75" customHeight="1">
      <c r="A264" s="1" t="s">
        <v>795</v>
      </c>
      <c r="B264" s="2">
        <v>46156.0</v>
      </c>
      <c r="C264" s="1" t="s">
        <v>792</v>
      </c>
      <c r="D264" s="1" t="s">
        <v>793</v>
      </c>
      <c r="E264" s="1" t="s">
        <v>45</v>
      </c>
      <c r="F264" s="1">
        <v>3162.0</v>
      </c>
      <c r="G264" s="1" t="s">
        <v>291</v>
      </c>
      <c r="H264" s="1">
        <v>3356.0</v>
      </c>
      <c r="I264" s="1" t="s">
        <v>21</v>
      </c>
      <c r="J264" s="1" t="s">
        <v>40</v>
      </c>
      <c r="K264" s="1">
        <v>-22.391829</v>
      </c>
      <c r="L264" s="1">
        <v>-41.713886</v>
      </c>
      <c r="M264" s="1">
        <v>2.0</v>
      </c>
      <c r="Q264" s="1">
        <f t="shared" si="1"/>
        <v>0</v>
      </c>
    </row>
    <row r="265" ht="15.75" customHeight="1">
      <c r="A265" s="1" t="s">
        <v>796</v>
      </c>
      <c r="B265" s="2">
        <v>45658.0</v>
      </c>
      <c r="C265" s="1" t="s">
        <v>497</v>
      </c>
      <c r="D265" s="1" t="s">
        <v>797</v>
      </c>
      <c r="E265" s="1" t="s">
        <v>344</v>
      </c>
      <c r="F265" s="1">
        <v>2512.0</v>
      </c>
      <c r="G265" s="1" t="s">
        <v>798</v>
      </c>
      <c r="H265" s="1">
        <v>9975.0</v>
      </c>
      <c r="I265" s="1" t="s">
        <v>198</v>
      </c>
      <c r="J265" s="1" t="s">
        <v>51</v>
      </c>
      <c r="K265" s="1">
        <v>-22.389865</v>
      </c>
      <c r="L265" s="1">
        <v>-41.750739</v>
      </c>
      <c r="M265" s="1">
        <v>2.0</v>
      </c>
      <c r="Q265" s="1">
        <f t="shared" si="1"/>
        <v>9975</v>
      </c>
    </row>
    <row r="266" ht="15.75" customHeight="1">
      <c r="A266" s="1" t="s">
        <v>799</v>
      </c>
      <c r="B266" s="2">
        <v>45964.0</v>
      </c>
      <c r="C266" s="1" t="s">
        <v>800</v>
      </c>
      <c r="D266" s="1" t="s">
        <v>797</v>
      </c>
      <c r="E266" s="1" t="s">
        <v>60</v>
      </c>
      <c r="F266" s="1">
        <v>2456.0</v>
      </c>
      <c r="G266" s="1" t="s">
        <v>801</v>
      </c>
      <c r="H266" s="1">
        <v>4710.0</v>
      </c>
      <c r="I266" s="1" t="s">
        <v>198</v>
      </c>
      <c r="J266" s="1" t="s">
        <v>34</v>
      </c>
      <c r="K266" s="1">
        <v>-22.415886</v>
      </c>
      <c r="L266" s="1">
        <v>-41.732216</v>
      </c>
      <c r="M266" s="1">
        <v>2.0</v>
      </c>
      <c r="Q266" s="1">
        <f t="shared" si="1"/>
        <v>4710</v>
      </c>
    </row>
    <row r="267" ht="15.75" customHeight="1">
      <c r="A267" s="1" t="s">
        <v>802</v>
      </c>
      <c r="B267" s="2">
        <v>45844.0</v>
      </c>
      <c r="C267" s="1" t="s">
        <v>803</v>
      </c>
      <c r="D267" s="1" t="s">
        <v>797</v>
      </c>
      <c r="E267" s="1" t="s">
        <v>50</v>
      </c>
      <c r="F267" s="1">
        <v>1588.0</v>
      </c>
      <c r="G267" s="1" t="s">
        <v>804</v>
      </c>
      <c r="H267" s="1">
        <v>6612.0</v>
      </c>
      <c r="I267" s="1" t="s">
        <v>21</v>
      </c>
      <c r="J267" s="1" t="s">
        <v>40</v>
      </c>
      <c r="K267" s="1">
        <v>-22.418079</v>
      </c>
      <c r="L267" s="1">
        <v>-41.702565</v>
      </c>
      <c r="M267" s="1">
        <v>3.0</v>
      </c>
      <c r="Q267" s="1">
        <f t="shared" si="1"/>
        <v>0</v>
      </c>
    </row>
    <row r="268" ht="15.75" customHeight="1">
      <c r="A268" s="1" t="s">
        <v>805</v>
      </c>
      <c r="B268" s="2">
        <v>46100.0</v>
      </c>
      <c r="C268" s="1" t="s">
        <v>806</v>
      </c>
      <c r="D268" s="1" t="s">
        <v>807</v>
      </c>
      <c r="E268" s="1" t="s">
        <v>45</v>
      </c>
      <c r="F268" s="1">
        <v>3162.0</v>
      </c>
      <c r="G268" s="1" t="s">
        <v>808</v>
      </c>
      <c r="H268" s="1">
        <v>10443.0</v>
      </c>
      <c r="I268" s="1" t="s">
        <v>21</v>
      </c>
      <c r="J268" s="1" t="s">
        <v>22</v>
      </c>
      <c r="K268" s="1">
        <v>-22.35747</v>
      </c>
      <c r="L268" s="1">
        <v>-41.75568</v>
      </c>
      <c r="M268" s="1">
        <v>2.0</v>
      </c>
      <c r="Q268" s="1">
        <f t="shared" si="1"/>
        <v>0</v>
      </c>
    </row>
    <row r="269" ht="15.75" customHeight="1">
      <c r="A269" s="1" t="s">
        <v>809</v>
      </c>
      <c r="B269" s="2">
        <v>45769.0</v>
      </c>
      <c r="C269" s="1" t="s">
        <v>107</v>
      </c>
      <c r="D269" s="1" t="s">
        <v>807</v>
      </c>
      <c r="E269" s="1" t="s">
        <v>38</v>
      </c>
      <c r="F269" s="1">
        <v>2975.0</v>
      </c>
      <c r="G269" s="1" t="s">
        <v>810</v>
      </c>
      <c r="H269" s="1">
        <v>8406.0</v>
      </c>
      <c r="I269" s="1" t="s">
        <v>21</v>
      </c>
      <c r="J269" s="1" t="s">
        <v>34</v>
      </c>
      <c r="K269" s="1">
        <v>-22.41928</v>
      </c>
      <c r="L269" s="1">
        <v>-41.769462</v>
      </c>
      <c r="M269" s="1">
        <v>1.0</v>
      </c>
      <c r="Q269" s="1">
        <f t="shared" si="1"/>
        <v>0</v>
      </c>
    </row>
    <row r="270" ht="15.75" customHeight="1">
      <c r="A270" s="1" t="s">
        <v>811</v>
      </c>
      <c r="B270" s="2">
        <v>45816.0</v>
      </c>
      <c r="C270" s="1" t="s">
        <v>772</v>
      </c>
      <c r="D270" s="1" t="s">
        <v>812</v>
      </c>
      <c r="E270" s="1" t="s">
        <v>305</v>
      </c>
      <c r="F270" s="1">
        <v>2059.0</v>
      </c>
      <c r="G270" s="1" t="s">
        <v>813</v>
      </c>
      <c r="H270" s="1">
        <v>15510.0</v>
      </c>
      <c r="I270" s="1" t="s">
        <v>21</v>
      </c>
      <c r="J270" s="1" t="s">
        <v>28</v>
      </c>
      <c r="K270" s="1">
        <v>-22.43081</v>
      </c>
      <c r="L270" s="1">
        <v>-41.760376</v>
      </c>
      <c r="M270" s="1">
        <v>2.0</v>
      </c>
      <c r="Q270" s="1">
        <f t="shared" si="1"/>
        <v>0</v>
      </c>
    </row>
    <row r="271" ht="15.75" customHeight="1">
      <c r="A271" s="1" t="s">
        <v>814</v>
      </c>
      <c r="B271" s="2">
        <v>45991.0</v>
      </c>
      <c r="C271" s="1" t="s">
        <v>128</v>
      </c>
      <c r="D271" s="1" t="s">
        <v>815</v>
      </c>
      <c r="E271" s="1" t="s">
        <v>69</v>
      </c>
      <c r="F271" s="1">
        <v>4825.0</v>
      </c>
      <c r="G271" s="1" t="s">
        <v>38</v>
      </c>
      <c r="H271" s="1">
        <v>7800.0</v>
      </c>
      <c r="I271" s="1" t="s">
        <v>21</v>
      </c>
      <c r="J271" s="1" t="s">
        <v>205</v>
      </c>
      <c r="K271" s="1">
        <v>-22.384651</v>
      </c>
      <c r="L271" s="1">
        <v>-41.721125</v>
      </c>
      <c r="M271" s="1">
        <v>4.0</v>
      </c>
      <c r="Q271" s="1">
        <f t="shared" si="1"/>
        <v>0</v>
      </c>
    </row>
    <row r="272" ht="15.75" customHeight="1">
      <c r="A272" s="1" t="s">
        <v>816</v>
      </c>
      <c r="B272" s="2">
        <v>45968.0</v>
      </c>
      <c r="C272" s="1" t="s">
        <v>385</v>
      </c>
      <c r="D272" s="1" t="s">
        <v>815</v>
      </c>
      <c r="E272" s="1" t="s">
        <v>197</v>
      </c>
      <c r="F272" s="1">
        <v>195.0</v>
      </c>
      <c r="G272" s="1" t="s">
        <v>55</v>
      </c>
      <c r="H272" s="1">
        <v>2604.0</v>
      </c>
      <c r="I272" s="1" t="s">
        <v>198</v>
      </c>
      <c r="J272" s="1" t="s">
        <v>28</v>
      </c>
      <c r="K272" s="1">
        <v>-22.419377</v>
      </c>
      <c r="L272" s="1">
        <v>-41.727329</v>
      </c>
      <c r="M272" s="1">
        <v>2.0</v>
      </c>
      <c r="Q272" s="1">
        <f t="shared" si="1"/>
        <v>2604</v>
      </c>
    </row>
    <row r="273" ht="15.75" customHeight="1">
      <c r="A273" s="1" t="s">
        <v>817</v>
      </c>
      <c r="B273" s="2">
        <v>46085.0</v>
      </c>
      <c r="C273" s="1" t="s">
        <v>818</v>
      </c>
      <c r="D273" s="1" t="s">
        <v>819</v>
      </c>
      <c r="E273" s="1" t="s">
        <v>49</v>
      </c>
      <c r="F273" s="1">
        <v>8020.0</v>
      </c>
      <c r="G273" s="1" t="s">
        <v>820</v>
      </c>
      <c r="H273" s="1">
        <v>23789.0</v>
      </c>
      <c r="I273" s="1" t="s">
        <v>198</v>
      </c>
      <c r="J273" s="1" t="s">
        <v>51</v>
      </c>
      <c r="K273" s="1">
        <v>-22.444469</v>
      </c>
      <c r="L273" s="1">
        <v>-41.759121</v>
      </c>
      <c r="M273" s="1">
        <v>0.0</v>
      </c>
      <c r="Q273" s="1">
        <f t="shared" si="1"/>
        <v>23789</v>
      </c>
    </row>
    <row r="274" ht="15.75" customHeight="1">
      <c r="A274" s="1" t="s">
        <v>821</v>
      </c>
      <c r="B274" s="2">
        <v>45677.0</v>
      </c>
      <c r="C274" s="1" t="s">
        <v>598</v>
      </c>
      <c r="D274" s="1" t="s">
        <v>819</v>
      </c>
      <c r="E274" s="1" t="s">
        <v>256</v>
      </c>
      <c r="F274" s="1">
        <v>2512.0</v>
      </c>
      <c r="G274" s="1" t="s">
        <v>315</v>
      </c>
      <c r="H274" s="1">
        <v>3333.0</v>
      </c>
      <c r="I274" s="1" t="s">
        <v>198</v>
      </c>
      <c r="J274" s="1" t="s">
        <v>34</v>
      </c>
      <c r="K274" s="1">
        <v>-22.383795</v>
      </c>
      <c r="L274" s="1">
        <v>-41.774407</v>
      </c>
      <c r="M274" s="1">
        <v>1.0</v>
      </c>
      <c r="Q274" s="1">
        <f t="shared" si="1"/>
        <v>3333</v>
      </c>
    </row>
    <row r="275" ht="15.75" customHeight="1">
      <c r="A275" s="1" t="s">
        <v>822</v>
      </c>
      <c r="B275" s="2">
        <v>46095.0</v>
      </c>
      <c r="C275" s="1" t="s">
        <v>606</v>
      </c>
      <c r="D275" s="1" t="s">
        <v>819</v>
      </c>
      <c r="E275" s="1" t="s">
        <v>136</v>
      </c>
      <c r="F275" s="1">
        <v>1588.0</v>
      </c>
      <c r="G275" s="1" t="s">
        <v>49</v>
      </c>
      <c r="H275" s="1">
        <v>9608.0</v>
      </c>
      <c r="I275" s="1" t="s">
        <v>21</v>
      </c>
      <c r="J275" s="1" t="s">
        <v>80</v>
      </c>
      <c r="K275" s="1">
        <v>-22.394193</v>
      </c>
      <c r="L275" s="1">
        <v>-41.726098</v>
      </c>
      <c r="M275" s="1">
        <v>3.0</v>
      </c>
      <c r="Q275" s="1">
        <f t="shared" si="1"/>
        <v>0</v>
      </c>
    </row>
    <row r="276" ht="15.75" customHeight="1">
      <c r="A276" s="1" t="s">
        <v>823</v>
      </c>
      <c r="B276" s="2">
        <v>45734.0</v>
      </c>
      <c r="C276" s="1" t="s">
        <v>42</v>
      </c>
      <c r="D276" s="1" t="s">
        <v>819</v>
      </c>
      <c r="E276" s="1" t="s">
        <v>44</v>
      </c>
      <c r="F276" s="1">
        <v>5506.0</v>
      </c>
      <c r="G276" s="1" t="s">
        <v>824</v>
      </c>
      <c r="H276" s="1">
        <v>11548.0</v>
      </c>
      <c r="I276" s="1" t="s">
        <v>21</v>
      </c>
      <c r="J276" s="1" t="s">
        <v>28</v>
      </c>
      <c r="K276" s="1">
        <v>-22.417452</v>
      </c>
      <c r="L276" s="1">
        <v>-41.752032</v>
      </c>
      <c r="M276" s="1">
        <v>1.0</v>
      </c>
      <c r="Q276" s="1">
        <f t="shared" si="1"/>
        <v>0</v>
      </c>
    </row>
    <row r="277" ht="15.75" customHeight="1">
      <c r="A277" s="1" t="s">
        <v>825</v>
      </c>
      <c r="B277" s="2">
        <v>45913.0</v>
      </c>
      <c r="C277" s="1" t="s">
        <v>570</v>
      </c>
      <c r="D277" s="1" t="s">
        <v>819</v>
      </c>
      <c r="E277" s="1" t="s">
        <v>59</v>
      </c>
      <c r="F277" s="1">
        <v>1790.0</v>
      </c>
      <c r="G277" s="1" t="s">
        <v>826</v>
      </c>
      <c r="H277" s="1">
        <v>6197.0</v>
      </c>
      <c r="I277" s="1" t="s">
        <v>198</v>
      </c>
      <c r="J277" s="1" t="s">
        <v>51</v>
      </c>
      <c r="K277" s="1">
        <v>-22.444068</v>
      </c>
      <c r="L277" s="1">
        <v>-41.794389</v>
      </c>
      <c r="M277" s="1">
        <v>2.0</v>
      </c>
      <c r="Q277" s="1">
        <f t="shared" si="1"/>
        <v>6197</v>
      </c>
    </row>
    <row r="278" ht="15.75" customHeight="1">
      <c r="A278" s="1" t="s">
        <v>827</v>
      </c>
      <c r="B278" s="2">
        <v>46106.0</v>
      </c>
      <c r="C278" s="1" t="s">
        <v>713</v>
      </c>
      <c r="D278" s="1" t="s">
        <v>819</v>
      </c>
      <c r="E278" s="1" t="s">
        <v>65</v>
      </c>
      <c r="F278" s="1">
        <v>3840.0</v>
      </c>
      <c r="G278" s="1" t="s">
        <v>828</v>
      </c>
      <c r="H278" s="1">
        <v>8170.0</v>
      </c>
      <c r="I278" s="1" t="s">
        <v>21</v>
      </c>
      <c r="J278" s="1" t="s">
        <v>22</v>
      </c>
      <c r="K278" s="1">
        <v>-22.402816</v>
      </c>
      <c r="L278" s="1">
        <v>-41.711915</v>
      </c>
      <c r="M278" s="1">
        <v>2.0</v>
      </c>
      <c r="Q278" s="1">
        <f t="shared" si="1"/>
        <v>0</v>
      </c>
    </row>
    <row r="279" ht="15.75" customHeight="1">
      <c r="A279" s="1" t="s">
        <v>829</v>
      </c>
      <c r="B279" s="2">
        <v>45964.0</v>
      </c>
      <c r="C279" s="1" t="s">
        <v>830</v>
      </c>
      <c r="D279" s="1" t="s">
        <v>831</v>
      </c>
      <c r="E279" s="1" t="s">
        <v>121</v>
      </c>
      <c r="F279" s="1">
        <v>7364.0</v>
      </c>
      <c r="G279" s="1" t="s">
        <v>832</v>
      </c>
      <c r="H279" s="1">
        <v>25446.0</v>
      </c>
      <c r="I279" s="1" t="s">
        <v>21</v>
      </c>
      <c r="J279" s="1" t="s">
        <v>34</v>
      </c>
      <c r="K279" s="1">
        <v>-22.393816</v>
      </c>
      <c r="L279" s="1">
        <v>-41.756174</v>
      </c>
      <c r="M279" s="1">
        <v>4.0</v>
      </c>
      <c r="Q279" s="1">
        <f t="shared" si="1"/>
        <v>0</v>
      </c>
    </row>
    <row r="280" ht="15.75" customHeight="1">
      <c r="A280" s="1" t="s">
        <v>833</v>
      </c>
      <c r="B280" s="2">
        <v>45680.0</v>
      </c>
      <c r="C280" s="1" t="s">
        <v>834</v>
      </c>
      <c r="D280" s="1" t="s">
        <v>835</v>
      </c>
      <c r="E280" s="1" t="s">
        <v>49</v>
      </c>
      <c r="F280" s="1">
        <v>8020.0</v>
      </c>
      <c r="G280" s="1" t="s">
        <v>836</v>
      </c>
      <c r="H280" s="1">
        <v>16994.0</v>
      </c>
      <c r="I280" s="1" t="s">
        <v>198</v>
      </c>
      <c r="J280" s="1" t="s">
        <v>22</v>
      </c>
      <c r="K280" s="1">
        <v>-22.362927</v>
      </c>
      <c r="L280" s="1">
        <v>-41.730075</v>
      </c>
      <c r="M280" s="1">
        <v>1.0</v>
      </c>
      <c r="Q280" s="1">
        <f t="shared" si="1"/>
        <v>16994</v>
      </c>
    </row>
    <row r="281" ht="15.75" customHeight="1">
      <c r="A281" s="1" t="s">
        <v>837</v>
      </c>
      <c r="B281" s="2">
        <v>45986.0</v>
      </c>
      <c r="C281" s="1" t="s">
        <v>838</v>
      </c>
      <c r="D281" s="1" t="s">
        <v>839</v>
      </c>
      <c r="E281" s="1" t="s">
        <v>49</v>
      </c>
      <c r="F281" s="1">
        <v>8020.0</v>
      </c>
      <c r="G281" s="1" t="s">
        <v>840</v>
      </c>
      <c r="H281" s="1">
        <v>14347.0</v>
      </c>
      <c r="I281" s="1" t="s">
        <v>21</v>
      </c>
      <c r="J281" s="1" t="s">
        <v>34</v>
      </c>
      <c r="K281" s="1">
        <v>-22.40392</v>
      </c>
      <c r="L281" s="1">
        <v>-41.766699</v>
      </c>
      <c r="M281" s="1">
        <v>3.0</v>
      </c>
      <c r="Q281" s="1">
        <f t="shared" si="1"/>
        <v>0</v>
      </c>
    </row>
    <row r="282" ht="15.75" customHeight="1">
      <c r="A282" s="1" t="s">
        <v>841</v>
      </c>
      <c r="B282" s="2">
        <v>45780.0</v>
      </c>
      <c r="C282" s="1" t="s">
        <v>842</v>
      </c>
      <c r="D282" s="1" t="s">
        <v>839</v>
      </c>
      <c r="E282" s="1" t="s">
        <v>55</v>
      </c>
      <c r="F282" s="1">
        <v>2409.0</v>
      </c>
      <c r="G282" s="1" t="s">
        <v>843</v>
      </c>
      <c r="H282" s="1">
        <v>7385.0</v>
      </c>
      <c r="I282" s="1" t="s">
        <v>21</v>
      </c>
      <c r="J282" s="1" t="s">
        <v>51</v>
      </c>
      <c r="K282" s="1">
        <v>-22.410369</v>
      </c>
      <c r="L282" s="1">
        <v>-41.751364</v>
      </c>
      <c r="M282" s="1">
        <v>3.0</v>
      </c>
      <c r="Q282" s="1">
        <f t="shared" si="1"/>
        <v>0</v>
      </c>
    </row>
    <row r="283" ht="15.75" customHeight="1">
      <c r="A283" s="1" t="s">
        <v>844</v>
      </c>
      <c r="B283" s="2">
        <v>46105.0</v>
      </c>
      <c r="C283" s="1" t="s">
        <v>845</v>
      </c>
      <c r="D283" s="1" t="s">
        <v>846</v>
      </c>
      <c r="E283" s="1" t="s">
        <v>90</v>
      </c>
      <c r="F283" s="1">
        <v>9435.0</v>
      </c>
      <c r="G283" s="1" t="s">
        <v>847</v>
      </c>
      <c r="H283" s="1">
        <v>22129.0</v>
      </c>
      <c r="I283" s="1" t="s">
        <v>21</v>
      </c>
      <c r="J283" s="1" t="s">
        <v>80</v>
      </c>
      <c r="K283" s="1">
        <v>-22.370986</v>
      </c>
      <c r="L283" s="1">
        <v>-41.750799</v>
      </c>
      <c r="M283" s="1">
        <v>0.0</v>
      </c>
      <c r="Q283" s="1">
        <f t="shared" si="1"/>
        <v>0</v>
      </c>
    </row>
    <row r="284" ht="15.75" customHeight="1">
      <c r="A284" s="1" t="s">
        <v>848</v>
      </c>
      <c r="B284" s="2">
        <v>45752.0</v>
      </c>
      <c r="C284" s="1" t="s">
        <v>428</v>
      </c>
      <c r="D284" s="1" t="s">
        <v>846</v>
      </c>
      <c r="E284" s="1" t="s">
        <v>115</v>
      </c>
      <c r="F284" s="1">
        <v>5506.0</v>
      </c>
      <c r="G284" s="1" t="s">
        <v>849</v>
      </c>
      <c r="H284" s="1">
        <v>15382.0</v>
      </c>
      <c r="I284" s="1" t="s">
        <v>21</v>
      </c>
      <c r="J284" s="1" t="s">
        <v>22</v>
      </c>
      <c r="K284" s="1">
        <v>-22.396824</v>
      </c>
      <c r="L284" s="1">
        <v>-41.720141</v>
      </c>
      <c r="M284" s="1">
        <v>4.0</v>
      </c>
      <c r="Q284" s="1">
        <f t="shared" si="1"/>
        <v>0</v>
      </c>
    </row>
    <row r="285" ht="15.75" customHeight="1">
      <c r="A285" s="1" t="s">
        <v>850</v>
      </c>
      <c r="B285" s="2">
        <v>45732.0</v>
      </c>
      <c r="C285" s="1" t="s">
        <v>851</v>
      </c>
      <c r="D285" s="1" t="s">
        <v>852</v>
      </c>
      <c r="E285" s="1" t="s">
        <v>84</v>
      </c>
      <c r="F285" s="1">
        <v>9435.0</v>
      </c>
      <c r="G285" s="1" t="s">
        <v>853</v>
      </c>
      <c r="H285" s="1">
        <v>16708.0</v>
      </c>
      <c r="I285" s="1" t="s">
        <v>21</v>
      </c>
      <c r="J285" s="1" t="s">
        <v>86</v>
      </c>
      <c r="K285" s="1">
        <v>-22.403428</v>
      </c>
      <c r="L285" s="1">
        <v>-41.711064</v>
      </c>
      <c r="M285" s="1">
        <v>3.0</v>
      </c>
      <c r="Q285" s="1">
        <f t="shared" si="1"/>
        <v>0</v>
      </c>
    </row>
    <row r="286" ht="15.75" customHeight="1">
      <c r="A286" s="1" t="s">
        <v>854</v>
      </c>
      <c r="B286" s="2">
        <v>46122.0</v>
      </c>
      <c r="C286" s="1" t="s">
        <v>855</v>
      </c>
      <c r="D286" s="1" t="s">
        <v>852</v>
      </c>
      <c r="E286" s="1" t="s">
        <v>163</v>
      </c>
      <c r="F286" s="1">
        <v>2059.0</v>
      </c>
      <c r="G286" s="1" t="s">
        <v>856</v>
      </c>
      <c r="H286" s="1">
        <v>13534.0</v>
      </c>
      <c r="I286" s="1" t="s">
        <v>198</v>
      </c>
      <c r="J286" s="1" t="s">
        <v>51</v>
      </c>
      <c r="K286" s="1">
        <v>-22.36106</v>
      </c>
      <c r="L286" s="1">
        <v>-41.759853</v>
      </c>
      <c r="M286" s="1">
        <v>4.0</v>
      </c>
      <c r="Q286" s="1">
        <f t="shared" si="1"/>
        <v>13534</v>
      </c>
    </row>
    <row r="287" ht="15.75" customHeight="1">
      <c r="A287" s="1" t="s">
        <v>857</v>
      </c>
      <c r="B287" s="2">
        <v>45677.0</v>
      </c>
      <c r="C287" s="1" t="s">
        <v>320</v>
      </c>
      <c r="D287" s="1" t="s">
        <v>852</v>
      </c>
      <c r="E287" s="1" t="s">
        <v>185</v>
      </c>
      <c r="F287" s="1">
        <v>3162.0</v>
      </c>
      <c r="G287" s="1" t="s">
        <v>38</v>
      </c>
      <c r="H287" s="1">
        <v>6137.0</v>
      </c>
      <c r="I287" s="1" t="s">
        <v>198</v>
      </c>
      <c r="J287" s="1" t="s">
        <v>34</v>
      </c>
      <c r="K287" s="1">
        <v>-22.417762</v>
      </c>
      <c r="L287" s="1">
        <v>-41.784951</v>
      </c>
      <c r="M287" s="1">
        <v>0.0</v>
      </c>
      <c r="Q287" s="1">
        <f t="shared" si="1"/>
        <v>6137</v>
      </c>
    </row>
    <row r="288" ht="15.75" customHeight="1">
      <c r="A288" s="1" t="s">
        <v>858</v>
      </c>
      <c r="B288" s="2">
        <v>46021.0</v>
      </c>
      <c r="C288" s="1" t="s">
        <v>289</v>
      </c>
      <c r="D288" s="1" t="s">
        <v>859</v>
      </c>
      <c r="E288" s="1" t="s">
        <v>290</v>
      </c>
      <c r="F288" s="1">
        <v>1588.0</v>
      </c>
      <c r="G288" s="1" t="s">
        <v>860</v>
      </c>
      <c r="H288" s="1">
        <v>9649.0</v>
      </c>
      <c r="I288" s="1" t="s">
        <v>21</v>
      </c>
      <c r="J288" s="1" t="s">
        <v>28</v>
      </c>
      <c r="K288" s="1">
        <v>-22.431115</v>
      </c>
      <c r="L288" s="1">
        <v>-41.785172</v>
      </c>
      <c r="M288" s="1">
        <v>4.0</v>
      </c>
      <c r="Q288" s="1">
        <f t="shared" si="1"/>
        <v>0</v>
      </c>
    </row>
    <row r="289" ht="15.75" customHeight="1">
      <c r="A289" s="1" t="s">
        <v>861</v>
      </c>
      <c r="B289" s="2">
        <v>45698.0</v>
      </c>
      <c r="C289" s="1" t="s">
        <v>24</v>
      </c>
      <c r="D289" s="1" t="s">
        <v>859</v>
      </c>
      <c r="E289" s="1" t="s">
        <v>26</v>
      </c>
      <c r="F289" s="1">
        <v>13257.0</v>
      </c>
      <c r="G289" s="1" t="s">
        <v>291</v>
      </c>
      <c r="H289" s="1">
        <v>13451.0</v>
      </c>
      <c r="I289" s="1" t="s">
        <v>21</v>
      </c>
      <c r="J289" s="1" t="s">
        <v>80</v>
      </c>
      <c r="K289" s="1">
        <v>-22.354534</v>
      </c>
      <c r="L289" s="1">
        <v>-41.767254</v>
      </c>
      <c r="M289" s="1">
        <v>1.0</v>
      </c>
      <c r="Q289" s="1">
        <f t="shared" si="1"/>
        <v>0</v>
      </c>
    </row>
    <row r="290" ht="15.75" customHeight="1">
      <c r="A290" s="1" t="s">
        <v>862</v>
      </c>
      <c r="B290" s="2">
        <v>45968.0</v>
      </c>
      <c r="C290" s="1" t="s">
        <v>838</v>
      </c>
      <c r="D290" s="1" t="s">
        <v>859</v>
      </c>
      <c r="E290" s="1" t="s">
        <v>49</v>
      </c>
      <c r="F290" s="1">
        <v>8020.0</v>
      </c>
      <c r="G290" s="1" t="s">
        <v>44</v>
      </c>
      <c r="H290" s="1">
        <v>13526.0</v>
      </c>
      <c r="I290" s="1" t="s">
        <v>21</v>
      </c>
      <c r="J290" s="1" t="s">
        <v>51</v>
      </c>
      <c r="K290" s="1">
        <v>-22.3509</v>
      </c>
      <c r="L290" s="1">
        <v>-41.776702</v>
      </c>
      <c r="M290" s="1">
        <v>1.0</v>
      </c>
      <c r="Q290" s="1">
        <f t="shared" si="1"/>
        <v>0</v>
      </c>
    </row>
    <row r="291" ht="15.75" customHeight="1">
      <c r="A291" s="1" t="s">
        <v>863</v>
      </c>
      <c r="B291" s="2">
        <v>45784.0</v>
      </c>
      <c r="C291" s="1" t="s">
        <v>395</v>
      </c>
      <c r="D291" s="1" t="s">
        <v>864</v>
      </c>
      <c r="E291" s="1" t="s">
        <v>44</v>
      </c>
      <c r="F291" s="1">
        <v>5506.0</v>
      </c>
      <c r="G291" s="1" t="s">
        <v>865</v>
      </c>
      <c r="H291" s="1">
        <v>8432.0</v>
      </c>
      <c r="I291" s="1" t="s">
        <v>198</v>
      </c>
      <c r="J291" s="1" t="s">
        <v>40</v>
      </c>
      <c r="K291" s="1">
        <v>-22.405605</v>
      </c>
      <c r="L291" s="1">
        <v>-41.725606</v>
      </c>
      <c r="M291" s="1">
        <v>3.0</v>
      </c>
      <c r="Q291" s="1">
        <f t="shared" si="1"/>
        <v>8432</v>
      </c>
    </row>
    <row r="292" ht="15.75" customHeight="1">
      <c r="A292" s="1" t="s">
        <v>866</v>
      </c>
      <c r="B292" s="2">
        <v>46066.0</v>
      </c>
      <c r="C292" s="1" t="s">
        <v>395</v>
      </c>
      <c r="D292" s="1" t="s">
        <v>867</v>
      </c>
      <c r="E292" s="1" t="s">
        <v>44</v>
      </c>
      <c r="F292" s="1">
        <v>5506.0</v>
      </c>
      <c r="G292" s="1" t="s">
        <v>868</v>
      </c>
      <c r="H292" s="1">
        <v>15762.0</v>
      </c>
      <c r="I292" s="1" t="s">
        <v>198</v>
      </c>
      <c r="J292" s="1" t="s">
        <v>34</v>
      </c>
      <c r="K292" s="1">
        <v>-22.372902</v>
      </c>
      <c r="L292" s="1">
        <v>-41.740978</v>
      </c>
      <c r="M292" s="1">
        <v>1.0</v>
      </c>
      <c r="Q292" s="1">
        <f t="shared" si="1"/>
        <v>15762</v>
      </c>
    </row>
    <row r="293" ht="15.75" customHeight="1">
      <c r="A293" s="1" t="s">
        <v>869</v>
      </c>
      <c r="B293" s="2">
        <v>45824.0</v>
      </c>
      <c r="C293" s="1" t="s">
        <v>365</v>
      </c>
      <c r="D293" s="1" t="s">
        <v>870</v>
      </c>
      <c r="E293" s="1" t="s">
        <v>344</v>
      </c>
      <c r="F293" s="1">
        <v>2512.0</v>
      </c>
      <c r="G293" s="1" t="s">
        <v>436</v>
      </c>
      <c r="H293" s="1">
        <v>5487.0</v>
      </c>
      <c r="I293" s="1" t="s">
        <v>21</v>
      </c>
      <c r="J293" s="1" t="s">
        <v>22</v>
      </c>
      <c r="K293" s="1">
        <v>-22.35593</v>
      </c>
      <c r="L293" s="1">
        <v>-41.725936</v>
      </c>
      <c r="M293" s="1">
        <v>1.0</v>
      </c>
      <c r="Q293" s="1">
        <f t="shared" si="1"/>
        <v>0</v>
      </c>
    </row>
    <row r="294" ht="15.75" customHeight="1">
      <c r="A294" s="1" t="s">
        <v>871</v>
      </c>
      <c r="B294" s="2">
        <v>45750.0</v>
      </c>
      <c r="C294" s="1" t="s">
        <v>687</v>
      </c>
      <c r="D294" s="1" t="s">
        <v>870</v>
      </c>
      <c r="E294" s="1" t="s">
        <v>64</v>
      </c>
      <c r="F294" s="1">
        <v>1136.0</v>
      </c>
      <c r="G294" s="1" t="s">
        <v>872</v>
      </c>
      <c r="H294" s="1">
        <v>25388.0</v>
      </c>
      <c r="I294" s="1" t="s">
        <v>21</v>
      </c>
      <c r="J294" s="1" t="s">
        <v>80</v>
      </c>
      <c r="K294" s="1">
        <v>-22.402202</v>
      </c>
      <c r="L294" s="1">
        <v>-41.749126</v>
      </c>
      <c r="M294" s="1">
        <v>4.0</v>
      </c>
      <c r="Q294" s="1">
        <f t="shared" si="1"/>
        <v>0</v>
      </c>
    </row>
    <row r="295" ht="15.75" customHeight="1">
      <c r="A295" s="1" t="s">
        <v>873</v>
      </c>
      <c r="B295" s="2">
        <v>46088.0</v>
      </c>
      <c r="C295" s="1" t="s">
        <v>874</v>
      </c>
      <c r="D295" s="1" t="s">
        <v>875</v>
      </c>
      <c r="E295" s="1" t="s">
        <v>315</v>
      </c>
      <c r="F295" s="1">
        <v>821.0</v>
      </c>
      <c r="G295" s="1" t="s">
        <v>104</v>
      </c>
      <c r="H295" s="1">
        <v>1957.0</v>
      </c>
      <c r="I295" s="1" t="s">
        <v>198</v>
      </c>
      <c r="J295" s="1" t="s">
        <v>22</v>
      </c>
      <c r="K295" s="1">
        <v>-22.414532</v>
      </c>
      <c r="L295" s="1">
        <v>-41.705427</v>
      </c>
      <c r="M295" s="1">
        <v>3.0</v>
      </c>
      <c r="Q295" s="1">
        <f t="shared" si="1"/>
        <v>1957</v>
      </c>
    </row>
    <row r="296" ht="15.75" customHeight="1">
      <c r="A296" s="1" t="s">
        <v>876</v>
      </c>
      <c r="B296" s="2">
        <v>45892.0</v>
      </c>
      <c r="C296" s="1" t="s">
        <v>119</v>
      </c>
      <c r="D296" s="1" t="s">
        <v>877</v>
      </c>
      <c r="E296" s="1" t="s">
        <v>121</v>
      </c>
      <c r="F296" s="1">
        <v>7364.0</v>
      </c>
      <c r="G296" s="1" t="s">
        <v>878</v>
      </c>
      <c r="H296" s="1">
        <v>16520.0</v>
      </c>
      <c r="I296" s="1" t="s">
        <v>21</v>
      </c>
      <c r="J296" s="1" t="s">
        <v>51</v>
      </c>
      <c r="K296" s="1">
        <v>-22.362406</v>
      </c>
      <c r="L296" s="1">
        <v>-41.798415</v>
      </c>
      <c r="M296" s="1">
        <v>0.0</v>
      </c>
      <c r="Q296" s="1">
        <f t="shared" si="1"/>
        <v>0</v>
      </c>
    </row>
    <row r="297" ht="15.75" customHeight="1">
      <c r="A297" s="1" t="s">
        <v>879</v>
      </c>
      <c r="B297" s="2">
        <v>45912.0</v>
      </c>
      <c r="C297" s="1" t="s">
        <v>369</v>
      </c>
      <c r="D297" s="1" t="s">
        <v>880</v>
      </c>
      <c r="E297" s="1" t="s">
        <v>197</v>
      </c>
      <c r="F297" s="1">
        <v>195.0</v>
      </c>
      <c r="G297" s="1" t="s">
        <v>881</v>
      </c>
      <c r="H297" s="1">
        <v>6307.0</v>
      </c>
      <c r="I297" s="1" t="s">
        <v>21</v>
      </c>
      <c r="J297" s="1" t="s">
        <v>40</v>
      </c>
      <c r="K297" s="1">
        <v>-22.437205</v>
      </c>
      <c r="L297" s="1">
        <v>-41.784424</v>
      </c>
      <c r="M297" s="1">
        <v>1.0</v>
      </c>
      <c r="Q297" s="1">
        <f t="shared" si="1"/>
        <v>0</v>
      </c>
    </row>
    <row r="298" ht="15.75" customHeight="1">
      <c r="A298" s="1" t="s">
        <v>882</v>
      </c>
      <c r="B298" s="2">
        <v>45872.0</v>
      </c>
      <c r="C298" s="1" t="s">
        <v>282</v>
      </c>
      <c r="D298" s="1" t="s">
        <v>880</v>
      </c>
      <c r="E298" s="1" t="s">
        <v>45</v>
      </c>
      <c r="F298" s="1">
        <v>3162.0</v>
      </c>
      <c r="G298" s="1" t="s">
        <v>90</v>
      </c>
      <c r="H298" s="1">
        <v>12597.0</v>
      </c>
      <c r="I298" s="1" t="s">
        <v>21</v>
      </c>
      <c r="J298" s="1" t="s">
        <v>80</v>
      </c>
      <c r="K298" s="1">
        <v>-22.388244</v>
      </c>
      <c r="L298" s="1">
        <v>-41.717675</v>
      </c>
      <c r="M298" s="1">
        <v>2.0</v>
      </c>
      <c r="Q298" s="1">
        <f t="shared" si="1"/>
        <v>0</v>
      </c>
    </row>
    <row r="299" ht="15.75" customHeight="1">
      <c r="A299" s="1" t="s">
        <v>883</v>
      </c>
      <c r="B299" s="2">
        <v>45813.0</v>
      </c>
      <c r="C299" s="1" t="s">
        <v>706</v>
      </c>
      <c r="D299" s="1" t="s">
        <v>884</v>
      </c>
      <c r="E299" s="1" t="s">
        <v>210</v>
      </c>
      <c r="F299" s="1">
        <v>1588.0</v>
      </c>
      <c r="G299" s="1" t="s">
        <v>60</v>
      </c>
      <c r="H299" s="1">
        <v>4044.0</v>
      </c>
      <c r="I299" s="1" t="s">
        <v>21</v>
      </c>
      <c r="J299" s="1" t="s">
        <v>80</v>
      </c>
      <c r="K299" s="1">
        <v>-22.362092</v>
      </c>
      <c r="L299" s="1">
        <v>-41.789061</v>
      </c>
      <c r="M299" s="1">
        <v>1.0</v>
      </c>
      <c r="Q299" s="1">
        <f t="shared" si="1"/>
        <v>0</v>
      </c>
    </row>
    <row r="300" ht="15.75" customHeight="1">
      <c r="A300" s="1" t="s">
        <v>885</v>
      </c>
      <c r="B300" s="2">
        <v>45971.0</v>
      </c>
      <c r="C300" s="1" t="s">
        <v>224</v>
      </c>
      <c r="D300" s="1" t="s">
        <v>886</v>
      </c>
      <c r="E300" s="1" t="s">
        <v>69</v>
      </c>
      <c r="F300" s="1">
        <v>4825.0</v>
      </c>
      <c r="G300" s="1" t="s">
        <v>50</v>
      </c>
      <c r="H300" s="1">
        <v>6413.0</v>
      </c>
      <c r="I300" s="1" t="s">
        <v>21</v>
      </c>
      <c r="J300" s="1" t="s">
        <v>80</v>
      </c>
      <c r="K300" s="1">
        <v>-22.359102</v>
      </c>
      <c r="L300" s="1">
        <v>-41.773482</v>
      </c>
      <c r="M300" s="1">
        <v>3.0</v>
      </c>
      <c r="Q300" s="1">
        <f t="shared" si="1"/>
        <v>0</v>
      </c>
    </row>
    <row r="301" ht="15.75" customHeight="1">
      <c r="A301" s="1" t="s">
        <v>887</v>
      </c>
      <c r="B301" s="2">
        <v>45687.0</v>
      </c>
      <c r="C301" s="1" t="s">
        <v>478</v>
      </c>
      <c r="D301" s="1" t="s">
        <v>888</v>
      </c>
      <c r="E301" s="1" t="s">
        <v>49</v>
      </c>
      <c r="F301" s="1">
        <v>8020.0</v>
      </c>
      <c r="G301" s="1" t="s">
        <v>19</v>
      </c>
      <c r="H301" s="1">
        <v>9156.0</v>
      </c>
      <c r="I301" s="1" t="s">
        <v>198</v>
      </c>
      <c r="J301" s="1" t="s">
        <v>40</v>
      </c>
      <c r="K301" s="1">
        <v>-22.376505</v>
      </c>
      <c r="L301" s="1">
        <v>-41.785566</v>
      </c>
      <c r="M301" s="1">
        <v>3.0</v>
      </c>
      <c r="Q301" s="1">
        <f t="shared" si="1"/>
        <v>9156</v>
      </c>
    </row>
    <row r="302" ht="15.75" customHeight="1">
      <c r="A302" s="1" t="s">
        <v>889</v>
      </c>
      <c r="B302" s="2">
        <v>45831.0</v>
      </c>
      <c r="C302" s="1" t="s">
        <v>407</v>
      </c>
      <c r="D302" s="1" t="s">
        <v>890</v>
      </c>
      <c r="E302" s="1" t="s">
        <v>210</v>
      </c>
      <c r="F302" s="1">
        <v>1588.0</v>
      </c>
      <c r="G302" s="1" t="s">
        <v>32</v>
      </c>
      <c r="H302" s="1">
        <v>2647.0</v>
      </c>
      <c r="I302" s="1" t="s">
        <v>198</v>
      </c>
      <c r="J302" s="1" t="s">
        <v>22</v>
      </c>
      <c r="K302" s="1">
        <v>-22.448506</v>
      </c>
      <c r="L302" s="1">
        <v>-41.710281</v>
      </c>
      <c r="M302" s="1">
        <v>1.0</v>
      </c>
      <c r="Q302" s="1">
        <f t="shared" si="1"/>
        <v>2647</v>
      </c>
    </row>
    <row r="303" ht="15.75" customHeight="1">
      <c r="A303" s="1" t="s">
        <v>891</v>
      </c>
      <c r="B303" s="2">
        <v>46133.0</v>
      </c>
      <c r="C303" s="1" t="s">
        <v>548</v>
      </c>
      <c r="D303" s="1" t="s">
        <v>892</v>
      </c>
      <c r="E303" s="1" t="s">
        <v>84</v>
      </c>
      <c r="F303" s="1">
        <v>9435.0</v>
      </c>
      <c r="G303" s="1" t="s">
        <v>893</v>
      </c>
      <c r="H303" s="1">
        <v>18589.0</v>
      </c>
      <c r="I303" s="1" t="s">
        <v>198</v>
      </c>
      <c r="J303" s="1" t="s">
        <v>205</v>
      </c>
      <c r="K303" s="1">
        <v>-22.436559</v>
      </c>
      <c r="L303" s="1">
        <v>-41.739673</v>
      </c>
      <c r="M303" s="1">
        <v>3.0</v>
      </c>
      <c r="Q303" s="1">
        <f t="shared" si="1"/>
        <v>18589</v>
      </c>
    </row>
    <row r="304" ht="15.75" customHeight="1">
      <c r="A304" s="1" t="s">
        <v>894</v>
      </c>
      <c r="B304" s="2">
        <v>46138.0</v>
      </c>
      <c r="C304" s="1" t="s">
        <v>895</v>
      </c>
      <c r="D304" s="1" t="s">
        <v>896</v>
      </c>
      <c r="E304" s="1" t="s">
        <v>38</v>
      </c>
      <c r="F304" s="1">
        <v>2975.0</v>
      </c>
      <c r="G304" s="1" t="s">
        <v>26</v>
      </c>
      <c r="H304" s="1">
        <v>16232.0</v>
      </c>
      <c r="I304" s="1" t="s">
        <v>198</v>
      </c>
      <c r="J304" s="1" t="s">
        <v>28</v>
      </c>
      <c r="K304" s="1">
        <v>-22.417712</v>
      </c>
      <c r="L304" s="1">
        <v>-41.746001</v>
      </c>
      <c r="M304" s="1">
        <v>2.0</v>
      </c>
      <c r="Q304" s="1">
        <f t="shared" si="1"/>
        <v>16232</v>
      </c>
    </row>
    <row r="305" ht="15.75" customHeight="1">
      <c r="A305" s="1" t="s">
        <v>897</v>
      </c>
      <c r="B305" s="2">
        <v>45786.0</v>
      </c>
      <c r="C305" s="1" t="s">
        <v>362</v>
      </c>
      <c r="D305" s="1" t="s">
        <v>896</v>
      </c>
      <c r="E305" s="1" t="s">
        <v>70</v>
      </c>
      <c r="F305" s="1">
        <v>3840.0</v>
      </c>
      <c r="G305" s="1" t="s">
        <v>898</v>
      </c>
      <c r="H305" s="1">
        <v>7391.0</v>
      </c>
      <c r="I305" s="1" t="s">
        <v>21</v>
      </c>
      <c r="J305" s="1" t="s">
        <v>28</v>
      </c>
      <c r="K305" s="1">
        <v>-22.369455</v>
      </c>
      <c r="L305" s="1">
        <v>-41.78574</v>
      </c>
      <c r="M305" s="1">
        <v>1.0</v>
      </c>
      <c r="Q305" s="1">
        <f t="shared" si="1"/>
        <v>0</v>
      </c>
    </row>
    <row r="306" ht="15.75" customHeight="1">
      <c r="A306" s="1" t="s">
        <v>899</v>
      </c>
      <c r="B306" s="2">
        <v>45947.0</v>
      </c>
      <c r="C306" s="1" t="s">
        <v>900</v>
      </c>
      <c r="D306" s="1" t="s">
        <v>901</v>
      </c>
      <c r="E306" s="1" t="s">
        <v>409</v>
      </c>
      <c r="F306" s="1">
        <v>1136.0</v>
      </c>
      <c r="G306" s="1" t="s">
        <v>291</v>
      </c>
      <c r="H306" s="1">
        <v>1330.0</v>
      </c>
      <c r="I306" s="1" t="s">
        <v>198</v>
      </c>
      <c r="J306" s="1" t="s">
        <v>22</v>
      </c>
      <c r="K306" s="1">
        <v>-22.425022</v>
      </c>
      <c r="L306" s="1">
        <v>-41.774933</v>
      </c>
      <c r="M306" s="1">
        <v>4.0</v>
      </c>
      <c r="Q306" s="1">
        <f t="shared" si="1"/>
        <v>1330</v>
      </c>
    </row>
    <row r="307" ht="15.75" customHeight="1">
      <c r="A307" s="1" t="s">
        <v>902</v>
      </c>
      <c r="B307" s="2">
        <v>45792.0</v>
      </c>
      <c r="C307" s="1" t="s">
        <v>900</v>
      </c>
      <c r="D307" s="1" t="s">
        <v>901</v>
      </c>
      <c r="E307" s="1" t="s">
        <v>409</v>
      </c>
      <c r="F307" s="1">
        <v>1136.0</v>
      </c>
      <c r="G307" s="1" t="s">
        <v>903</v>
      </c>
      <c r="H307" s="1">
        <v>5797.0</v>
      </c>
      <c r="I307" s="1" t="s">
        <v>198</v>
      </c>
      <c r="J307" s="1" t="s">
        <v>51</v>
      </c>
      <c r="K307" s="1">
        <v>-22.412523</v>
      </c>
      <c r="L307" s="1">
        <v>-41.785478</v>
      </c>
      <c r="M307" s="1">
        <v>2.0</v>
      </c>
      <c r="Q307" s="1">
        <f t="shared" si="1"/>
        <v>5797</v>
      </c>
    </row>
    <row r="308" ht="15.75" customHeight="1">
      <c r="A308" s="1" t="s">
        <v>904</v>
      </c>
      <c r="B308" s="2">
        <v>45844.0</v>
      </c>
      <c r="C308" s="1" t="s">
        <v>630</v>
      </c>
      <c r="D308" s="1" t="s">
        <v>905</v>
      </c>
      <c r="E308" s="1" t="s">
        <v>297</v>
      </c>
      <c r="F308" s="1">
        <v>1136.0</v>
      </c>
      <c r="G308" s="1" t="s">
        <v>906</v>
      </c>
      <c r="H308" s="1">
        <v>12148.0</v>
      </c>
      <c r="I308" s="1" t="s">
        <v>21</v>
      </c>
      <c r="J308" s="1" t="s">
        <v>28</v>
      </c>
      <c r="K308" s="1">
        <v>-22.386537</v>
      </c>
      <c r="L308" s="1">
        <v>-41.716462</v>
      </c>
      <c r="M308" s="1">
        <v>0.0</v>
      </c>
      <c r="Q308" s="1">
        <f t="shared" si="1"/>
        <v>0</v>
      </c>
    </row>
    <row r="309" ht="15.75" customHeight="1">
      <c r="A309" s="1" t="s">
        <v>907</v>
      </c>
      <c r="B309" s="2">
        <v>45669.0</v>
      </c>
      <c r="C309" s="1" t="s">
        <v>908</v>
      </c>
      <c r="D309" s="1" t="s">
        <v>905</v>
      </c>
      <c r="E309" s="1" t="s">
        <v>33</v>
      </c>
      <c r="F309" s="1">
        <v>821.0</v>
      </c>
      <c r="G309" s="1" t="s">
        <v>210</v>
      </c>
      <c r="H309" s="1">
        <v>2409.0</v>
      </c>
      <c r="I309" s="1" t="s">
        <v>198</v>
      </c>
      <c r="J309" s="1" t="s">
        <v>205</v>
      </c>
      <c r="K309" s="1">
        <v>-22.401616</v>
      </c>
      <c r="L309" s="1">
        <v>-41.76561</v>
      </c>
      <c r="M309" s="1">
        <v>4.0</v>
      </c>
      <c r="Q309" s="1">
        <f t="shared" si="1"/>
        <v>2409</v>
      </c>
    </row>
    <row r="310" ht="15.75" customHeight="1">
      <c r="A310" s="1" t="s">
        <v>909</v>
      </c>
      <c r="B310" s="2">
        <v>45927.0</v>
      </c>
      <c r="C310" s="1" t="s">
        <v>910</v>
      </c>
      <c r="D310" s="1" t="s">
        <v>911</v>
      </c>
      <c r="E310" s="1" t="s">
        <v>38</v>
      </c>
      <c r="F310" s="1">
        <v>2975.0</v>
      </c>
      <c r="G310" s="1" t="s">
        <v>912</v>
      </c>
      <c r="H310" s="1">
        <v>12129.0</v>
      </c>
      <c r="I310" s="1" t="s">
        <v>198</v>
      </c>
      <c r="J310" s="1" t="s">
        <v>205</v>
      </c>
      <c r="K310" s="1">
        <v>-22.438218</v>
      </c>
      <c r="L310" s="1">
        <v>-41.772069</v>
      </c>
      <c r="M310" s="1">
        <v>4.0</v>
      </c>
      <c r="Q310" s="1">
        <f t="shared" si="1"/>
        <v>12129</v>
      </c>
    </row>
    <row r="311" ht="15.75" customHeight="1">
      <c r="A311" s="1" t="s">
        <v>913</v>
      </c>
      <c r="B311" s="2">
        <v>46007.0</v>
      </c>
      <c r="C311" s="1" t="s">
        <v>914</v>
      </c>
      <c r="D311" s="1" t="s">
        <v>915</v>
      </c>
      <c r="E311" s="1" t="s">
        <v>50</v>
      </c>
      <c r="F311" s="1">
        <v>1588.0</v>
      </c>
      <c r="G311" s="1" t="s">
        <v>916</v>
      </c>
      <c r="H311" s="1">
        <v>7884.0</v>
      </c>
      <c r="I311" s="1" t="s">
        <v>198</v>
      </c>
      <c r="J311" s="1" t="s">
        <v>205</v>
      </c>
      <c r="K311" s="1">
        <v>-22.383675</v>
      </c>
      <c r="L311" s="1">
        <v>-41.733199</v>
      </c>
      <c r="M311" s="1">
        <v>3.0</v>
      </c>
      <c r="Q311" s="1">
        <f t="shared" si="1"/>
        <v>7884</v>
      </c>
    </row>
    <row r="312" ht="15.75" customHeight="1">
      <c r="A312" s="1" t="s">
        <v>917</v>
      </c>
      <c r="B312" s="2">
        <v>45684.0</v>
      </c>
      <c r="C312" s="1" t="s">
        <v>918</v>
      </c>
      <c r="D312" s="1" t="s">
        <v>915</v>
      </c>
      <c r="E312" s="1" t="s">
        <v>65</v>
      </c>
      <c r="F312" s="1">
        <v>3840.0</v>
      </c>
      <c r="G312" s="1" t="s">
        <v>919</v>
      </c>
      <c r="H312" s="1">
        <v>16884.0</v>
      </c>
      <c r="I312" s="1" t="s">
        <v>198</v>
      </c>
      <c r="J312" s="1" t="s">
        <v>28</v>
      </c>
      <c r="K312" s="1">
        <v>-22.440542</v>
      </c>
      <c r="L312" s="1">
        <v>-41.702491</v>
      </c>
      <c r="M312" s="1">
        <v>4.0</v>
      </c>
      <c r="Q312" s="1">
        <f t="shared" si="1"/>
        <v>16884</v>
      </c>
    </row>
    <row r="313" ht="15.75" customHeight="1">
      <c r="A313" s="1" t="s">
        <v>920</v>
      </c>
      <c r="B313" s="2">
        <v>45960.0</v>
      </c>
      <c r="C313" s="1" t="s">
        <v>365</v>
      </c>
      <c r="D313" s="1" t="s">
        <v>915</v>
      </c>
      <c r="E313" s="1" t="s">
        <v>344</v>
      </c>
      <c r="F313" s="1">
        <v>2512.0</v>
      </c>
      <c r="G313" s="1" t="s">
        <v>115</v>
      </c>
      <c r="H313" s="1">
        <v>8018.0</v>
      </c>
      <c r="I313" s="1" t="s">
        <v>21</v>
      </c>
      <c r="J313" s="1" t="s">
        <v>80</v>
      </c>
      <c r="K313" s="1">
        <v>-22.419297</v>
      </c>
      <c r="L313" s="1">
        <v>-41.756384</v>
      </c>
      <c r="M313" s="1">
        <v>1.0</v>
      </c>
      <c r="Q313" s="1">
        <f t="shared" si="1"/>
        <v>0</v>
      </c>
    </row>
    <row r="314" ht="15.75" customHeight="1">
      <c r="A314" s="1" t="s">
        <v>921</v>
      </c>
      <c r="B314" s="2">
        <v>45803.0</v>
      </c>
      <c r="C314" s="1" t="s">
        <v>548</v>
      </c>
      <c r="D314" s="1" t="s">
        <v>915</v>
      </c>
      <c r="E314" s="1" t="s">
        <v>84</v>
      </c>
      <c r="F314" s="1">
        <v>9435.0</v>
      </c>
      <c r="G314" s="1" t="s">
        <v>922</v>
      </c>
      <c r="H314" s="1">
        <v>16057.0</v>
      </c>
      <c r="I314" s="1" t="s">
        <v>21</v>
      </c>
      <c r="J314" s="1" t="s">
        <v>40</v>
      </c>
      <c r="K314" s="1">
        <v>-22.430132</v>
      </c>
      <c r="L314" s="1">
        <v>-41.72554</v>
      </c>
      <c r="M314" s="1">
        <v>1.0</v>
      </c>
      <c r="Q314" s="1">
        <f t="shared" si="1"/>
        <v>0</v>
      </c>
    </row>
    <row r="315" ht="15.75" customHeight="1">
      <c r="A315" s="1" t="s">
        <v>923</v>
      </c>
      <c r="B315" s="2">
        <v>45706.0</v>
      </c>
      <c r="C315" s="1" t="s">
        <v>772</v>
      </c>
      <c r="D315" s="1" t="s">
        <v>915</v>
      </c>
      <c r="E315" s="1" t="s">
        <v>305</v>
      </c>
      <c r="F315" s="1">
        <v>2059.0</v>
      </c>
      <c r="G315" s="1" t="s">
        <v>924</v>
      </c>
      <c r="H315" s="1">
        <v>5908.0</v>
      </c>
      <c r="I315" s="1" t="s">
        <v>21</v>
      </c>
      <c r="J315" s="1" t="s">
        <v>80</v>
      </c>
      <c r="K315" s="1">
        <v>-22.396054</v>
      </c>
      <c r="L315" s="1">
        <v>-41.730631</v>
      </c>
      <c r="M315" s="1">
        <v>4.0</v>
      </c>
      <c r="Q315" s="1">
        <f t="shared" si="1"/>
        <v>0</v>
      </c>
    </row>
    <row r="316" ht="15.75" customHeight="1">
      <c r="A316" s="1" t="s">
        <v>925</v>
      </c>
      <c r="B316" s="2">
        <v>45820.0</v>
      </c>
      <c r="C316" s="1" t="s">
        <v>926</v>
      </c>
      <c r="D316" s="1" t="s">
        <v>927</v>
      </c>
      <c r="E316" s="1" t="s">
        <v>305</v>
      </c>
      <c r="F316" s="1">
        <v>2059.0</v>
      </c>
      <c r="G316" s="1" t="s">
        <v>136</v>
      </c>
      <c r="H316" s="1">
        <v>3647.0</v>
      </c>
      <c r="I316" s="1" t="s">
        <v>21</v>
      </c>
      <c r="J316" s="1" t="s">
        <v>28</v>
      </c>
      <c r="K316" s="1">
        <v>-22.386509</v>
      </c>
      <c r="L316" s="1">
        <v>-41.714106</v>
      </c>
      <c r="M316" s="1">
        <v>0.0</v>
      </c>
      <c r="Q316" s="1">
        <f t="shared" si="1"/>
        <v>0</v>
      </c>
    </row>
    <row r="317" ht="15.75" customHeight="1">
      <c r="A317" s="1" t="s">
        <v>928</v>
      </c>
      <c r="B317" s="2">
        <v>45865.0</v>
      </c>
      <c r="C317" s="1" t="s">
        <v>929</v>
      </c>
      <c r="D317" s="1" t="s">
        <v>927</v>
      </c>
      <c r="E317" s="1" t="s">
        <v>290</v>
      </c>
      <c r="F317" s="1">
        <v>1588.0</v>
      </c>
      <c r="G317" s="1" t="s">
        <v>930</v>
      </c>
      <c r="H317" s="1">
        <v>7681.0</v>
      </c>
      <c r="I317" s="1" t="s">
        <v>198</v>
      </c>
      <c r="J317" s="1" t="s">
        <v>40</v>
      </c>
      <c r="K317" s="1">
        <v>-22.354094</v>
      </c>
      <c r="L317" s="1">
        <v>-41.70511</v>
      </c>
      <c r="M317" s="1">
        <v>2.0</v>
      </c>
      <c r="Q317" s="1">
        <f t="shared" si="1"/>
        <v>7681</v>
      </c>
    </row>
    <row r="318" ht="15.75" customHeight="1">
      <c r="A318" s="1" t="s">
        <v>931</v>
      </c>
      <c r="B318" s="2">
        <v>46137.0</v>
      </c>
      <c r="C318" s="1" t="s">
        <v>932</v>
      </c>
      <c r="D318" s="1" t="s">
        <v>927</v>
      </c>
      <c r="E318" s="1" t="s">
        <v>185</v>
      </c>
      <c r="F318" s="1">
        <v>3162.0</v>
      </c>
      <c r="G318" s="1" t="s">
        <v>933</v>
      </c>
      <c r="H318" s="1">
        <v>16419.0</v>
      </c>
      <c r="I318" s="1" t="s">
        <v>198</v>
      </c>
      <c r="J318" s="1" t="s">
        <v>28</v>
      </c>
      <c r="K318" s="1">
        <v>-22.377845</v>
      </c>
      <c r="L318" s="1">
        <v>-41.770001</v>
      </c>
      <c r="M318" s="1">
        <v>2.0</v>
      </c>
      <c r="Q318" s="1">
        <f t="shared" si="1"/>
        <v>16419</v>
      </c>
    </row>
    <row r="319" ht="15.75" customHeight="1">
      <c r="A319" s="1" t="s">
        <v>934</v>
      </c>
      <c r="B319" s="2">
        <v>45726.0</v>
      </c>
      <c r="C319" s="1" t="s">
        <v>119</v>
      </c>
      <c r="D319" s="1" t="s">
        <v>935</v>
      </c>
      <c r="E319" s="1" t="s">
        <v>121</v>
      </c>
      <c r="F319" s="1">
        <v>7364.0</v>
      </c>
      <c r="G319" s="1" t="s">
        <v>936</v>
      </c>
      <c r="H319" s="1">
        <v>20890.0</v>
      </c>
      <c r="I319" s="1" t="s">
        <v>21</v>
      </c>
      <c r="J319" s="1" t="s">
        <v>51</v>
      </c>
      <c r="K319" s="1">
        <v>-22.43597</v>
      </c>
      <c r="L319" s="1">
        <v>-41.751907</v>
      </c>
      <c r="M319" s="1">
        <v>0.0</v>
      </c>
      <c r="Q319" s="1">
        <f t="shared" si="1"/>
        <v>0</v>
      </c>
    </row>
    <row r="320" ht="15.75" customHeight="1">
      <c r="A320" s="1" t="s">
        <v>937</v>
      </c>
      <c r="B320" s="2">
        <v>45821.0</v>
      </c>
      <c r="C320" s="1" t="s">
        <v>113</v>
      </c>
      <c r="D320" s="1" t="s">
        <v>935</v>
      </c>
      <c r="E320" s="1" t="s">
        <v>69</v>
      </c>
      <c r="F320" s="1">
        <v>4825.0</v>
      </c>
      <c r="G320" s="1" t="s">
        <v>210</v>
      </c>
      <c r="H320" s="1">
        <v>6413.0</v>
      </c>
      <c r="I320" s="1" t="s">
        <v>21</v>
      </c>
      <c r="J320" s="1" t="s">
        <v>51</v>
      </c>
      <c r="K320" s="1">
        <v>-22.390858</v>
      </c>
      <c r="L320" s="1">
        <v>-41.775143</v>
      </c>
      <c r="M320" s="1">
        <v>3.0</v>
      </c>
      <c r="Q320" s="1">
        <f t="shared" si="1"/>
        <v>0</v>
      </c>
    </row>
    <row r="321" ht="15.75" customHeight="1">
      <c r="A321" s="1" t="s">
        <v>938</v>
      </c>
      <c r="B321" s="2">
        <v>45801.0</v>
      </c>
      <c r="C321" s="1" t="s">
        <v>687</v>
      </c>
      <c r="D321" s="1" t="s">
        <v>935</v>
      </c>
      <c r="E321" s="1" t="s">
        <v>64</v>
      </c>
      <c r="F321" s="1">
        <v>1136.0</v>
      </c>
      <c r="G321" s="1" t="s">
        <v>290</v>
      </c>
      <c r="H321" s="1">
        <v>2724.0</v>
      </c>
      <c r="I321" s="1" t="s">
        <v>198</v>
      </c>
      <c r="J321" s="1" t="s">
        <v>22</v>
      </c>
      <c r="K321" s="1">
        <v>-22.377402</v>
      </c>
      <c r="L321" s="1">
        <v>-41.741407</v>
      </c>
      <c r="M321" s="1">
        <v>3.0</v>
      </c>
      <c r="Q321" s="1">
        <f t="shared" si="1"/>
        <v>2724</v>
      </c>
    </row>
    <row r="322" ht="15.75" customHeight="1">
      <c r="A322" s="1" t="s">
        <v>939</v>
      </c>
      <c r="B322" s="2">
        <v>45940.0</v>
      </c>
      <c r="C322" s="1" t="s">
        <v>252</v>
      </c>
      <c r="D322" s="1" t="s">
        <v>935</v>
      </c>
      <c r="E322" s="1" t="s">
        <v>163</v>
      </c>
      <c r="F322" s="1">
        <v>2059.0</v>
      </c>
      <c r="G322" s="1" t="s">
        <v>315</v>
      </c>
      <c r="H322" s="1">
        <v>2880.0</v>
      </c>
      <c r="I322" s="1" t="s">
        <v>21</v>
      </c>
      <c r="J322" s="1" t="s">
        <v>40</v>
      </c>
      <c r="K322" s="1">
        <v>-22.386324</v>
      </c>
      <c r="L322" s="1">
        <v>-41.747938</v>
      </c>
      <c r="M322" s="1">
        <v>2.0</v>
      </c>
      <c r="Q322" s="1">
        <f t="shared" si="1"/>
        <v>0</v>
      </c>
    </row>
    <row r="323" ht="15.75" customHeight="1">
      <c r="A323" s="1" t="s">
        <v>940</v>
      </c>
      <c r="B323" s="2">
        <v>45895.0</v>
      </c>
      <c r="C323" s="1" t="s">
        <v>941</v>
      </c>
      <c r="D323" s="1" t="s">
        <v>942</v>
      </c>
      <c r="E323" s="1" t="s">
        <v>305</v>
      </c>
      <c r="F323" s="1">
        <v>2059.0</v>
      </c>
      <c r="G323" s="1" t="s">
        <v>256</v>
      </c>
      <c r="H323" s="1">
        <v>4571.0</v>
      </c>
      <c r="I323" s="1" t="s">
        <v>198</v>
      </c>
      <c r="J323" s="1" t="s">
        <v>86</v>
      </c>
      <c r="K323" s="1">
        <v>-22.367776</v>
      </c>
      <c r="L323" s="1">
        <v>-41.745874</v>
      </c>
      <c r="M323" s="1">
        <v>3.0</v>
      </c>
      <c r="Q323" s="1">
        <f t="shared" si="1"/>
        <v>4571</v>
      </c>
    </row>
    <row r="324" ht="15.75" customHeight="1">
      <c r="A324" s="1" t="s">
        <v>943</v>
      </c>
      <c r="B324" s="2">
        <v>45936.0</v>
      </c>
      <c r="C324" s="1" t="s">
        <v>362</v>
      </c>
      <c r="D324" s="1" t="s">
        <v>942</v>
      </c>
      <c r="E324" s="1" t="s">
        <v>70</v>
      </c>
      <c r="F324" s="1">
        <v>3840.0</v>
      </c>
      <c r="G324" s="1" t="s">
        <v>944</v>
      </c>
      <c r="H324" s="1">
        <v>13263.0</v>
      </c>
      <c r="I324" s="1" t="s">
        <v>198</v>
      </c>
      <c r="J324" s="1" t="s">
        <v>51</v>
      </c>
      <c r="K324" s="1">
        <v>-22.366202</v>
      </c>
      <c r="L324" s="1">
        <v>-41.774455</v>
      </c>
      <c r="M324" s="1">
        <v>0.0</v>
      </c>
      <c r="Q324" s="1">
        <f t="shared" si="1"/>
        <v>13263</v>
      </c>
    </row>
    <row r="325" ht="15.75" customHeight="1">
      <c r="A325" s="1" t="s">
        <v>945</v>
      </c>
      <c r="B325" s="2">
        <v>46156.0</v>
      </c>
      <c r="C325" s="1" t="s">
        <v>946</v>
      </c>
      <c r="D325" s="1" t="s">
        <v>947</v>
      </c>
      <c r="E325" s="1" t="s">
        <v>38</v>
      </c>
      <c r="F325" s="1">
        <v>2975.0</v>
      </c>
      <c r="G325" s="1" t="s">
        <v>308</v>
      </c>
      <c r="H325" s="1">
        <v>18022.0</v>
      </c>
      <c r="I325" s="1" t="s">
        <v>21</v>
      </c>
      <c r="J325" s="1" t="s">
        <v>34</v>
      </c>
      <c r="K325" s="1">
        <v>-22.397716</v>
      </c>
      <c r="L325" s="1">
        <v>-41.791143</v>
      </c>
      <c r="M325" s="1">
        <v>2.0</v>
      </c>
      <c r="Q325" s="1">
        <f t="shared" si="1"/>
        <v>0</v>
      </c>
    </row>
    <row r="326" ht="15.75" customHeight="1">
      <c r="A326" s="1" t="s">
        <v>948</v>
      </c>
      <c r="B326" s="2">
        <v>46089.0</v>
      </c>
      <c r="C326" s="1" t="s">
        <v>949</v>
      </c>
      <c r="D326" s="1" t="s">
        <v>947</v>
      </c>
      <c r="E326" s="1" t="s">
        <v>95</v>
      </c>
      <c r="F326" s="1">
        <v>1588.0</v>
      </c>
      <c r="G326" s="1" t="s">
        <v>950</v>
      </c>
      <c r="H326" s="1">
        <v>4192.0</v>
      </c>
      <c r="I326" s="1" t="s">
        <v>198</v>
      </c>
      <c r="J326" s="1" t="s">
        <v>22</v>
      </c>
      <c r="K326" s="1">
        <v>-22.363483</v>
      </c>
      <c r="L326" s="1">
        <v>-41.77198</v>
      </c>
      <c r="M326" s="1">
        <v>0.0</v>
      </c>
      <c r="Q326" s="1">
        <f t="shared" si="1"/>
        <v>4192</v>
      </c>
    </row>
    <row r="327" ht="15.75" customHeight="1">
      <c r="A327" s="1" t="s">
        <v>951</v>
      </c>
      <c r="B327" s="2">
        <v>46087.0</v>
      </c>
      <c r="C327" s="1" t="s">
        <v>369</v>
      </c>
      <c r="D327" s="1" t="s">
        <v>952</v>
      </c>
      <c r="E327" s="1" t="s">
        <v>197</v>
      </c>
      <c r="F327" s="1">
        <v>195.0</v>
      </c>
      <c r="G327" s="1" t="s">
        <v>953</v>
      </c>
      <c r="H327" s="1">
        <v>4766.0</v>
      </c>
      <c r="I327" s="1" t="s">
        <v>198</v>
      </c>
      <c r="J327" s="1" t="s">
        <v>80</v>
      </c>
      <c r="K327" s="1">
        <v>-22.441691</v>
      </c>
      <c r="L327" s="1">
        <v>-41.789887</v>
      </c>
      <c r="M327" s="1">
        <v>2.0</v>
      </c>
      <c r="Q327" s="1">
        <f t="shared" si="1"/>
        <v>4766</v>
      </c>
    </row>
    <row r="328" ht="15.75" customHeight="1">
      <c r="A328" s="1" t="s">
        <v>954</v>
      </c>
      <c r="B328" s="2">
        <v>45884.0</v>
      </c>
      <c r="C328" s="1" t="s">
        <v>955</v>
      </c>
      <c r="D328" s="1" t="s">
        <v>956</v>
      </c>
      <c r="E328" s="1" t="s">
        <v>78</v>
      </c>
      <c r="F328" s="1">
        <v>195.0</v>
      </c>
      <c r="G328" s="1" t="s">
        <v>95</v>
      </c>
      <c r="H328" s="1">
        <v>1783.0</v>
      </c>
      <c r="I328" s="1" t="s">
        <v>198</v>
      </c>
      <c r="J328" s="1" t="s">
        <v>51</v>
      </c>
      <c r="K328" s="1">
        <v>-22.383437</v>
      </c>
      <c r="L328" s="1">
        <v>-41.789603</v>
      </c>
      <c r="M328" s="1">
        <v>4.0</v>
      </c>
      <c r="Q328" s="1">
        <f t="shared" si="1"/>
        <v>1783</v>
      </c>
    </row>
    <row r="329" ht="15.75" customHeight="1">
      <c r="A329" s="1" t="s">
        <v>957</v>
      </c>
      <c r="B329" s="2">
        <v>45701.0</v>
      </c>
      <c r="C329" s="1" t="s">
        <v>955</v>
      </c>
      <c r="D329" s="1" t="s">
        <v>958</v>
      </c>
      <c r="E329" s="1" t="s">
        <v>78</v>
      </c>
      <c r="F329" s="1">
        <v>195.0</v>
      </c>
      <c r="G329" s="1" t="s">
        <v>959</v>
      </c>
      <c r="H329" s="1">
        <v>9096.0</v>
      </c>
      <c r="I329" s="1" t="s">
        <v>198</v>
      </c>
      <c r="J329" s="1" t="s">
        <v>22</v>
      </c>
      <c r="K329" s="1">
        <v>-22.390966</v>
      </c>
      <c r="L329" s="1">
        <v>-41.72064</v>
      </c>
      <c r="M329" s="1">
        <v>4.0</v>
      </c>
      <c r="Q329" s="1">
        <f t="shared" si="1"/>
        <v>9096</v>
      </c>
    </row>
    <row r="330" ht="15.75" customHeight="1">
      <c r="A330" s="1" t="s">
        <v>960</v>
      </c>
      <c r="B330" s="2">
        <v>46089.0</v>
      </c>
      <c r="C330" s="1" t="s">
        <v>961</v>
      </c>
      <c r="D330" s="1" t="s">
        <v>958</v>
      </c>
      <c r="E330" s="1" t="s">
        <v>291</v>
      </c>
      <c r="F330" s="1">
        <v>194.0</v>
      </c>
      <c r="G330" s="1" t="s">
        <v>962</v>
      </c>
      <c r="H330" s="1">
        <v>6905.0</v>
      </c>
      <c r="I330" s="1" t="s">
        <v>198</v>
      </c>
      <c r="J330" s="1" t="s">
        <v>40</v>
      </c>
      <c r="K330" s="1">
        <v>-22.41527</v>
      </c>
      <c r="L330" s="1">
        <v>-41.721186</v>
      </c>
      <c r="M330" s="1">
        <v>3.0</v>
      </c>
      <c r="Q330" s="1">
        <f t="shared" si="1"/>
        <v>6905</v>
      </c>
    </row>
    <row r="331" ht="15.75" customHeight="1">
      <c r="A331" s="1" t="s">
        <v>963</v>
      </c>
      <c r="B331" s="2">
        <v>45684.0</v>
      </c>
      <c r="C331" s="1" t="s">
        <v>720</v>
      </c>
      <c r="D331" s="1" t="s">
        <v>964</v>
      </c>
      <c r="E331" s="1" t="s">
        <v>315</v>
      </c>
      <c r="F331" s="1">
        <v>821.0</v>
      </c>
      <c r="G331" s="1" t="s">
        <v>965</v>
      </c>
      <c r="H331" s="1">
        <v>3093.0</v>
      </c>
      <c r="I331" s="1" t="s">
        <v>198</v>
      </c>
      <c r="J331" s="1" t="s">
        <v>28</v>
      </c>
      <c r="K331" s="1">
        <v>-22.447586</v>
      </c>
      <c r="L331" s="1">
        <v>-41.705405</v>
      </c>
      <c r="M331" s="1">
        <v>1.0</v>
      </c>
      <c r="Q331" s="1">
        <f t="shared" si="1"/>
        <v>3093</v>
      </c>
    </row>
    <row r="332" ht="15.75" customHeight="1">
      <c r="A332" s="1" t="s">
        <v>966</v>
      </c>
      <c r="B332" s="2">
        <v>45917.0</v>
      </c>
      <c r="C332" s="1" t="s">
        <v>603</v>
      </c>
      <c r="D332" s="1" t="s">
        <v>964</v>
      </c>
      <c r="E332" s="1" t="s">
        <v>291</v>
      </c>
      <c r="F332" s="1">
        <v>194.0</v>
      </c>
      <c r="G332" s="1" t="s">
        <v>967</v>
      </c>
      <c r="H332" s="1">
        <v>14587.0</v>
      </c>
      <c r="I332" s="1" t="s">
        <v>198</v>
      </c>
      <c r="J332" s="1" t="s">
        <v>80</v>
      </c>
      <c r="K332" s="1">
        <v>-22.414762</v>
      </c>
      <c r="L332" s="1">
        <v>-41.703441</v>
      </c>
      <c r="M332" s="1">
        <v>2.0</v>
      </c>
      <c r="Q332" s="1">
        <f t="shared" si="1"/>
        <v>14587</v>
      </c>
    </row>
    <row r="333" ht="15.75" customHeight="1">
      <c r="A333" s="1" t="s">
        <v>968</v>
      </c>
      <c r="B333" s="2">
        <v>45927.0</v>
      </c>
      <c r="C333" s="1" t="s">
        <v>969</v>
      </c>
      <c r="D333" s="1" t="s">
        <v>964</v>
      </c>
      <c r="E333" s="1" t="s">
        <v>197</v>
      </c>
      <c r="F333" s="1">
        <v>195.0</v>
      </c>
      <c r="G333" s="1" t="s">
        <v>970</v>
      </c>
      <c r="H333" s="1">
        <v>13470.0</v>
      </c>
      <c r="I333" s="1" t="s">
        <v>198</v>
      </c>
      <c r="J333" s="1" t="s">
        <v>34</v>
      </c>
      <c r="K333" s="1">
        <v>-22.394152</v>
      </c>
      <c r="L333" s="1">
        <v>-41.713652</v>
      </c>
      <c r="M333" s="1">
        <v>1.0</v>
      </c>
      <c r="Q333" s="1">
        <f t="shared" si="1"/>
        <v>13470</v>
      </c>
    </row>
    <row r="334" ht="15.75" customHeight="1">
      <c r="A334" s="1" t="s">
        <v>971</v>
      </c>
      <c r="B334" s="2">
        <v>46169.0</v>
      </c>
      <c r="C334" s="1" t="s">
        <v>598</v>
      </c>
      <c r="D334" s="1" t="s">
        <v>964</v>
      </c>
      <c r="E334" s="1" t="s">
        <v>256</v>
      </c>
      <c r="F334" s="1">
        <v>2512.0</v>
      </c>
      <c r="G334" s="1" t="s">
        <v>972</v>
      </c>
      <c r="H334" s="1">
        <v>4784.0</v>
      </c>
      <c r="I334" s="1" t="s">
        <v>21</v>
      </c>
      <c r="J334" s="1" t="s">
        <v>80</v>
      </c>
      <c r="K334" s="1">
        <v>-22.41482</v>
      </c>
      <c r="L334" s="1">
        <v>-41.746177</v>
      </c>
      <c r="M334" s="1">
        <v>0.0</v>
      </c>
      <c r="Q334" s="1">
        <f t="shared" si="1"/>
        <v>0</v>
      </c>
    </row>
    <row r="335" ht="15.75" customHeight="1">
      <c r="A335" s="1" t="s">
        <v>973</v>
      </c>
      <c r="B335" s="2">
        <v>46073.0</v>
      </c>
      <c r="C335" s="1" t="s">
        <v>733</v>
      </c>
      <c r="D335" s="1" t="s">
        <v>964</v>
      </c>
      <c r="E335" s="1" t="s">
        <v>290</v>
      </c>
      <c r="F335" s="1">
        <v>1588.0</v>
      </c>
      <c r="G335" s="1" t="s">
        <v>974</v>
      </c>
      <c r="H335" s="1">
        <v>9802.0</v>
      </c>
      <c r="I335" s="1" t="s">
        <v>21</v>
      </c>
      <c r="J335" s="1" t="s">
        <v>205</v>
      </c>
      <c r="K335" s="1">
        <v>-22.386052</v>
      </c>
      <c r="L335" s="1">
        <v>-41.724344</v>
      </c>
      <c r="M335" s="1">
        <v>2.0</v>
      </c>
      <c r="Q335" s="1">
        <f t="shared" si="1"/>
        <v>0</v>
      </c>
    </row>
    <row r="336" ht="15.75" customHeight="1">
      <c r="A336" s="1" t="s">
        <v>975</v>
      </c>
      <c r="B336" s="2">
        <v>46003.0</v>
      </c>
      <c r="C336" s="1" t="s">
        <v>590</v>
      </c>
      <c r="D336" s="1" t="s">
        <v>964</v>
      </c>
      <c r="E336" s="1" t="s">
        <v>436</v>
      </c>
      <c r="F336" s="1">
        <v>2975.0</v>
      </c>
      <c r="G336" s="1" t="s">
        <v>976</v>
      </c>
      <c r="H336" s="1">
        <v>6151.0</v>
      </c>
      <c r="I336" s="1" t="s">
        <v>21</v>
      </c>
      <c r="J336" s="1" t="s">
        <v>80</v>
      </c>
      <c r="K336" s="1">
        <v>-22.374523</v>
      </c>
      <c r="L336" s="1">
        <v>-41.704069</v>
      </c>
      <c r="M336" s="1">
        <v>3.0</v>
      </c>
      <c r="Q336" s="1">
        <f t="shared" si="1"/>
        <v>0</v>
      </c>
    </row>
    <row r="337" ht="15.75" customHeight="1">
      <c r="A337" s="1" t="s">
        <v>977</v>
      </c>
      <c r="B337" s="2">
        <v>45852.0</v>
      </c>
      <c r="C337" s="1" t="s">
        <v>818</v>
      </c>
      <c r="D337" s="1" t="s">
        <v>964</v>
      </c>
      <c r="E337" s="1" t="s">
        <v>49</v>
      </c>
      <c r="F337" s="1">
        <v>8020.0</v>
      </c>
      <c r="G337" s="1" t="s">
        <v>344</v>
      </c>
      <c r="H337" s="1">
        <v>10532.0</v>
      </c>
      <c r="I337" s="1" t="s">
        <v>21</v>
      </c>
      <c r="J337" s="1" t="s">
        <v>86</v>
      </c>
      <c r="K337" s="1">
        <v>-22.359117</v>
      </c>
      <c r="L337" s="1">
        <v>-41.729977</v>
      </c>
      <c r="M337" s="1">
        <v>4.0</v>
      </c>
      <c r="Q337" s="1">
        <f t="shared" si="1"/>
        <v>0</v>
      </c>
    </row>
    <row r="338" ht="15.75" customHeight="1">
      <c r="A338" s="1" t="s">
        <v>978</v>
      </c>
      <c r="B338" s="2">
        <v>46065.0</v>
      </c>
      <c r="C338" s="1" t="s">
        <v>979</v>
      </c>
      <c r="D338" s="1" t="s">
        <v>980</v>
      </c>
      <c r="E338" s="1" t="s">
        <v>32</v>
      </c>
      <c r="F338" s="1">
        <v>1059.0</v>
      </c>
      <c r="G338" s="1" t="s">
        <v>981</v>
      </c>
      <c r="H338" s="1">
        <v>6565.0</v>
      </c>
      <c r="I338" s="1" t="s">
        <v>21</v>
      </c>
      <c r="J338" s="1" t="s">
        <v>22</v>
      </c>
      <c r="K338" s="1">
        <v>-22.430138</v>
      </c>
      <c r="L338" s="1">
        <v>-41.790946</v>
      </c>
      <c r="M338" s="1">
        <v>4.0</v>
      </c>
      <c r="Q338" s="1">
        <f t="shared" si="1"/>
        <v>0</v>
      </c>
    </row>
    <row r="339" ht="15.75" customHeight="1">
      <c r="A339" s="1" t="s">
        <v>982</v>
      </c>
      <c r="B339" s="2">
        <v>46020.0</v>
      </c>
      <c r="C339" s="1" t="s">
        <v>750</v>
      </c>
      <c r="D339" s="1" t="s">
        <v>980</v>
      </c>
      <c r="E339" s="1" t="s">
        <v>95</v>
      </c>
      <c r="F339" s="1">
        <v>1588.0</v>
      </c>
      <c r="G339" s="1" t="s">
        <v>983</v>
      </c>
      <c r="H339" s="1">
        <v>7192.0</v>
      </c>
      <c r="I339" s="1" t="s">
        <v>198</v>
      </c>
      <c r="J339" s="1" t="s">
        <v>28</v>
      </c>
      <c r="K339" s="1">
        <v>-22.357874</v>
      </c>
      <c r="L339" s="1">
        <v>-41.789637</v>
      </c>
      <c r="M339" s="1">
        <v>3.0</v>
      </c>
      <c r="Q339" s="1">
        <f t="shared" si="1"/>
        <v>7192</v>
      </c>
    </row>
    <row r="340" ht="15.75" customHeight="1">
      <c r="A340" s="1" t="s">
        <v>984</v>
      </c>
      <c r="B340" s="2">
        <v>46111.0</v>
      </c>
      <c r="C340" s="1" t="s">
        <v>985</v>
      </c>
      <c r="D340" s="1" t="s">
        <v>986</v>
      </c>
      <c r="E340" s="1" t="s">
        <v>185</v>
      </c>
      <c r="F340" s="1">
        <v>3162.0</v>
      </c>
      <c r="G340" s="1" t="s">
        <v>987</v>
      </c>
      <c r="H340" s="1">
        <v>18227.0</v>
      </c>
      <c r="I340" s="1" t="s">
        <v>21</v>
      </c>
      <c r="J340" s="1" t="s">
        <v>34</v>
      </c>
      <c r="K340" s="1">
        <v>-22.395201</v>
      </c>
      <c r="L340" s="1">
        <v>-41.733248</v>
      </c>
      <c r="M340" s="1">
        <v>0.0</v>
      </c>
      <c r="Q340" s="1">
        <f t="shared" si="1"/>
        <v>0</v>
      </c>
    </row>
    <row r="341" ht="15.75" customHeight="1">
      <c r="A341" s="1" t="s">
        <v>988</v>
      </c>
      <c r="B341" s="2">
        <v>45882.0</v>
      </c>
      <c r="C341" s="1" t="s">
        <v>369</v>
      </c>
      <c r="D341" s="1" t="s">
        <v>989</v>
      </c>
      <c r="E341" s="1" t="s">
        <v>197</v>
      </c>
      <c r="F341" s="1">
        <v>195.0</v>
      </c>
      <c r="G341" s="1" t="s">
        <v>50</v>
      </c>
      <c r="H341" s="1">
        <v>1783.0</v>
      </c>
      <c r="I341" s="1" t="s">
        <v>21</v>
      </c>
      <c r="J341" s="1" t="s">
        <v>34</v>
      </c>
      <c r="K341" s="1">
        <v>-22.405964</v>
      </c>
      <c r="L341" s="1">
        <v>-41.718847</v>
      </c>
      <c r="M341" s="1">
        <v>1.0</v>
      </c>
      <c r="Q341" s="1">
        <f t="shared" si="1"/>
        <v>0</v>
      </c>
    </row>
    <row r="342" ht="15.75" customHeight="1">
      <c r="A342" s="1" t="s">
        <v>990</v>
      </c>
      <c r="B342" s="2">
        <v>45679.0</v>
      </c>
      <c r="C342" s="1" t="s">
        <v>252</v>
      </c>
      <c r="D342" s="1" t="s">
        <v>989</v>
      </c>
      <c r="E342" s="1" t="s">
        <v>163</v>
      </c>
      <c r="F342" s="1">
        <v>2059.0</v>
      </c>
      <c r="G342" s="1" t="s">
        <v>26</v>
      </c>
      <c r="H342" s="1">
        <v>15316.0</v>
      </c>
      <c r="I342" s="1" t="s">
        <v>21</v>
      </c>
      <c r="J342" s="1" t="s">
        <v>205</v>
      </c>
      <c r="K342" s="1">
        <v>-22.366207</v>
      </c>
      <c r="L342" s="1">
        <v>-41.758547</v>
      </c>
      <c r="M342" s="1">
        <v>4.0</v>
      </c>
      <c r="Q342" s="1">
        <f t="shared" si="1"/>
        <v>0</v>
      </c>
    </row>
    <row r="343" ht="15.75" customHeight="1">
      <c r="A343" s="1" t="s">
        <v>991</v>
      </c>
      <c r="B343" s="2">
        <v>46054.0</v>
      </c>
      <c r="C343" s="1" t="s">
        <v>30</v>
      </c>
      <c r="D343" s="1" t="s">
        <v>992</v>
      </c>
      <c r="E343" s="1" t="s">
        <v>32</v>
      </c>
      <c r="F343" s="1">
        <v>1059.0</v>
      </c>
      <c r="G343" s="1" t="s">
        <v>993</v>
      </c>
      <c r="H343" s="1">
        <v>8078.0</v>
      </c>
      <c r="I343" s="1" t="s">
        <v>198</v>
      </c>
      <c r="J343" s="1" t="s">
        <v>80</v>
      </c>
      <c r="K343" s="1">
        <v>-22.369657</v>
      </c>
      <c r="L343" s="1">
        <v>-41.773644</v>
      </c>
      <c r="M343" s="1">
        <v>2.0</v>
      </c>
      <c r="Q343" s="1">
        <f t="shared" si="1"/>
        <v>8078</v>
      </c>
    </row>
    <row r="344" ht="15.75" customHeight="1">
      <c r="A344" s="1" t="s">
        <v>994</v>
      </c>
      <c r="B344" s="2">
        <v>45736.0</v>
      </c>
      <c r="C344" s="1" t="s">
        <v>995</v>
      </c>
      <c r="D344" s="1" t="s">
        <v>996</v>
      </c>
      <c r="E344" s="1" t="s">
        <v>136</v>
      </c>
      <c r="F344" s="1">
        <v>1588.0</v>
      </c>
      <c r="G344" s="1" t="s">
        <v>997</v>
      </c>
      <c r="H344" s="1">
        <v>10429.0</v>
      </c>
      <c r="I344" s="1" t="s">
        <v>198</v>
      </c>
      <c r="J344" s="1" t="s">
        <v>80</v>
      </c>
      <c r="K344" s="1">
        <v>-22.364006</v>
      </c>
      <c r="L344" s="1">
        <v>-41.701374</v>
      </c>
      <c r="M344" s="1">
        <v>1.0</v>
      </c>
      <c r="Q344" s="1">
        <f t="shared" si="1"/>
        <v>10429</v>
      </c>
    </row>
    <row r="345" ht="15.75" customHeight="1">
      <c r="A345" s="1" t="s">
        <v>998</v>
      </c>
      <c r="B345" s="2">
        <v>45979.0</v>
      </c>
      <c r="C345" s="1" t="s">
        <v>999</v>
      </c>
      <c r="D345" s="1" t="s">
        <v>996</v>
      </c>
      <c r="E345" s="1" t="s">
        <v>33</v>
      </c>
      <c r="F345" s="1">
        <v>821.0</v>
      </c>
      <c r="G345" s="1" t="s">
        <v>1000</v>
      </c>
      <c r="H345" s="1">
        <v>4393.0</v>
      </c>
      <c r="I345" s="1" t="s">
        <v>198</v>
      </c>
      <c r="J345" s="1" t="s">
        <v>34</v>
      </c>
      <c r="K345" s="1">
        <v>-22.377989</v>
      </c>
      <c r="L345" s="1">
        <v>-41.728244</v>
      </c>
      <c r="M345" s="1">
        <v>0.0</v>
      </c>
      <c r="Q345" s="1">
        <f t="shared" si="1"/>
        <v>4393</v>
      </c>
    </row>
    <row r="346" ht="15.75" customHeight="1">
      <c r="A346" s="1" t="s">
        <v>1001</v>
      </c>
      <c r="B346" s="2">
        <v>46129.0</v>
      </c>
      <c r="C346" s="1" t="s">
        <v>1002</v>
      </c>
      <c r="D346" s="1" t="s">
        <v>996</v>
      </c>
      <c r="E346" s="1" t="s">
        <v>256</v>
      </c>
      <c r="F346" s="1">
        <v>2512.0</v>
      </c>
      <c r="G346" s="1" t="s">
        <v>1003</v>
      </c>
      <c r="H346" s="1">
        <v>5116.0</v>
      </c>
      <c r="I346" s="1" t="s">
        <v>21</v>
      </c>
      <c r="J346" s="1" t="s">
        <v>205</v>
      </c>
      <c r="K346" s="1">
        <v>-22.400287</v>
      </c>
      <c r="L346" s="1">
        <v>-41.756382</v>
      </c>
      <c r="M346" s="1">
        <v>4.0</v>
      </c>
      <c r="Q346" s="1">
        <f t="shared" si="1"/>
        <v>0</v>
      </c>
    </row>
    <row r="347" ht="15.75" customHeight="1">
      <c r="A347" s="1" t="s">
        <v>1004</v>
      </c>
      <c r="B347" s="2">
        <v>46117.0</v>
      </c>
      <c r="C347" s="1" t="s">
        <v>128</v>
      </c>
      <c r="D347" s="1" t="s">
        <v>1005</v>
      </c>
      <c r="E347" s="1" t="s">
        <v>69</v>
      </c>
      <c r="F347" s="1">
        <v>4825.0</v>
      </c>
      <c r="G347" s="1" t="s">
        <v>115</v>
      </c>
      <c r="H347" s="1">
        <v>10331.0</v>
      </c>
      <c r="I347" s="1" t="s">
        <v>21</v>
      </c>
      <c r="J347" s="1" t="s">
        <v>40</v>
      </c>
      <c r="K347" s="1">
        <v>-22.360416</v>
      </c>
      <c r="L347" s="1">
        <v>-41.752337</v>
      </c>
      <c r="M347" s="1">
        <v>4.0</v>
      </c>
      <c r="Q347" s="1">
        <f t="shared" si="1"/>
        <v>0</v>
      </c>
    </row>
    <row r="348" ht="15.75" customHeight="1">
      <c r="A348" s="1" t="s">
        <v>1006</v>
      </c>
      <c r="B348" s="2">
        <v>45940.0</v>
      </c>
      <c r="C348" s="1" t="s">
        <v>161</v>
      </c>
      <c r="D348" s="1" t="s">
        <v>1005</v>
      </c>
      <c r="E348" s="1" t="s">
        <v>163</v>
      </c>
      <c r="F348" s="1">
        <v>2059.0</v>
      </c>
      <c r="G348" s="1" t="s">
        <v>136</v>
      </c>
      <c r="H348" s="1">
        <v>3647.0</v>
      </c>
      <c r="I348" s="1" t="s">
        <v>21</v>
      </c>
      <c r="J348" s="1" t="s">
        <v>86</v>
      </c>
      <c r="K348" s="1">
        <v>-22.355265</v>
      </c>
      <c r="L348" s="1">
        <v>-41.727224</v>
      </c>
      <c r="M348" s="1">
        <v>4.0</v>
      </c>
      <c r="Q348" s="1">
        <f t="shared" si="1"/>
        <v>0</v>
      </c>
    </row>
    <row r="349" ht="15.75" customHeight="1">
      <c r="A349" s="1" t="s">
        <v>1007</v>
      </c>
      <c r="B349" s="2">
        <v>45878.0</v>
      </c>
      <c r="C349" s="1" t="s">
        <v>750</v>
      </c>
      <c r="D349" s="1" t="s">
        <v>1008</v>
      </c>
      <c r="E349" s="1" t="s">
        <v>95</v>
      </c>
      <c r="F349" s="1">
        <v>1588.0</v>
      </c>
      <c r="G349" s="1" t="s">
        <v>1009</v>
      </c>
      <c r="H349" s="1">
        <v>16635.0</v>
      </c>
      <c r="I349" s="1" t="s">
        <v>198</v>
      </c>
      <c r="J349" s="1" t="s">
        <v>86</v>
      </c>
      <c r="K349" s="1">
        <v>-22.39616</v>
      </c>
      <c r="L349" s="1">
        <v>-41.732533</v>
      </c>
      <c r="M349" s="1">
        <v>3.0</v>
      </c>
      <c r="Q349" s="1">
        <f t="shared" si="1"/>
        <v>16635</v>
      </c>
    </row>
    <row r="350" ht="15.75" customHeight="1">
      <c r="A350" s="1" t="s">
        <v>1010</v>
      </c>
      <c r="B350" s="2">
        <v>45805.0</v>
      </c>
      <c r="C350" s="1" t="s">
        <v>641</v>
      </c>
      <c r="D350" s="1" t="s">
        <v>1008</v>
      </c>
      <c r="E350" s="1" t="s">
        <v>65</v>
      </c>
      <c r="F350" s="1">
        <v>3840.0</v>
      </c>
      <c r="G350" s="1" t="s">
        <v>59</v>
      </c>
      <c r="H350" s="1">
        <v>5630.0</v>
      </c>
      <c r="I350" s="1" t="s">
        <v>198</v>
      </c>
      <c r="J350" s="1" t="s">
        <v>80</v>
      </c>
      <c r="K350" s="1">
        <v>-22.363727</v>
      </c>
      <c r="L350" s="1">
        <v>-41.702911</v>
      </c>
      <c r="M350" s="1">
        <v>4.0</v>
      </c>
      <c r="Q350" s="1">
        <f t="shared" si="1"/>
        <v>5630</v>
      </c>
    </row>
    <row r="351" ht="15.75" customHeight="1">
      <c r="A351" s="1" t="s">
        <v>1011</v>
      </c>
      <c r="B351" s="2">
        <v>45723.0</v>
      </c>
      <c r="C351" s="1" t="s">
        <v>381</v>
      </c>
      <c r="D351" s="1" t="s">
        <v>1012</v>
      </c>
      <c r="E351" s="1" t="s">
        <v>90</v>
      </c>
      <c r="F351" s="1">
        <v>9435.0</v>
      </c>
      <c r="G351" s="1" t="s">
        <v>1013</v>
      </c>
      <c r="H351" s="1">
        <v>14401.0</v>
      </c>
      <c r="I351" s="1" t="s">
        <v>21</v>
      </c>
      <c r="J351" s="1" t="s">
        <v>51</v>
      </c>
      <c r="K351" s="1">
        <v>-22.376962</v>
      </c>
      <c r="L351" s="1">
        <v>-41.726744</v>
      </c>
      <c r="M351" s="1">
        <v>4.0</v>
      </c>
      <c r="Q351" s="1">
        <f t="shared" si="1"/>
        <v>0</v>
      </c>
    </row>
    <row r="352" ht="15.75" customHeight="1">
      <c r="A352" s="1" t="s">
        <v>1014</v>
      </c>
      <c r="B352" s="2">
        <v>45780.0</v>
      </c>
      <c r="C352" s="1" t="s">
        <v>908</v>
      </c>
      <c r="D352" s="1" t="s">
        <v>1012</v>
      </c>
      <c r="E352" s="1" t="s">
        <v>33</v>
      </c>
      <c r="F352" s="1">
        <v>821.0</v>
      </c>
      <c r="G352" s="1" t="s">
        <v>1015</v>
      </c>
      <c r="H352" s="1">
        <v>5549.0</v>
      </c>
      <c r="I352" s="1" t="s">
        <v>198</v>
      </c>
      <c r="J352" s="1" t="s">
        <v>22</v>
      </c>
      <c r="K352" s="1">
        <v>-22.440584</v>
      </c>
      <c r="L352" s="1">
        <v>-41.759644</v>
      </c>
      <c r="M352" s="1">
        <v>2.0</v>
      </c>
      <c r="Q352" s="1">
        <f t="shared" si="1"/>
        <v>5549</v>
      </c>
    </row>
    <row r="353" ht="15.75" customHeight="1">
      <c r="A353" s="1" t="s">
        <v>1016</v>
      </c>
      <c r="B353" s="2">
        <v>46009.0</v>
      </c>
      <c r="C353" s="1" t="s">
        <v>519</v>
      </c>
      <c r="D353" s="1" t="s">
        <v>1017</v>
      </c>
      <c r="E353" s="1" t="s">
        <v>177</v>
      </c>
      <c r="F353" s="1">
        <v>3271.0</v>
      </c>
      <c r="G353" s="1" t="s">
        <v>1018</v>
      </c>
      <c r="H353" s="1">
        <v>4602.0</v>
      </c>
      <c r="I353" s="1" t="s">
        <v>21</v>
      </c>
      <c r="J353" s="1" t="s">
        <v>22</v>
      </c>
      <c r="K353" s="1">
        <v>-22.41888</v>
      </c>
      <c r="L353" s="1">
        <v>-41.782259</v>
      </c>
      <c r="M353" s="1">
        <v>1.0</v>
      </c>
      <c r="Q353" s="1">
        <f t="shared" si="1"/>
        <v>0</v>
      </c>
    </row>
    <row r="354" ht="15.75" customHeight="1">
      <c r="A354" s="1" t="s">
        <v>1019</v>
      </c>
      <c r="B354" s="2">
        <v>45924.0</v>
      </c>
      <c r="C354" s="1" t="s">
        <v>134</v>
      </c>
      <c r="D354" s="1" t="s">
        <v>1017</v>
      </c>
      <c r="E354" s="1" t="s">
        <v>130</v>
      </c>
      <c r="F354" s="1">
        <v>13257.0</v>
      </c>
      <c r="G354" s="1" t="s">
        <v>1020</v>
      </c>
      <c r="H354" s="1">
        <v>24280.0</v>
      </c>
      <c r="I354" s="1" t="s">
        <v>21</v>
      </c>
      <c r="J354" s="1" t="s">
        <v>34</v>
      </c>
      <c r="K354" s="1">
        <v>-22.427336</v>
      </c>
      <c r="L354" s="1">
        <v>-41.701436</v>
      </c>
      <c r="M354" s="1">
        <v>3.0</v>
      </c>
      <c r="Q354" s="1">
        <f t="shared" si="1"/>
        <v>0</v>
      </c>
    </row>
    <row r="355" ht="15.75" customHeight="1">
      <c r="A355" s="1" t="s">
        <v>1021</v>
      </c>
      <c r="B355" s="2">
        <v>45754.0</v>
      </c>
      <c r="C355" s="1" t="s">
        <v>300</v>
      </c>
      <c r="D355" s="1" t="s">
        <v>1017</v>
      </c>
      <c r="E355" s="1" t="s">
        <v>38</v>
      </c>
      <c r="F355" s="1">
        <v>2975.0</v>
      </c>
      <c r="G355" s="1" t="s">
        <v>65</v>
      </c>
      <c r="H355" s="1">
        <v>6815.0</v>
      </c>
      <c r="I355" s="1" t="s">
        <v>198</v>
      </c>
      <c r="J355" s="1" t="s">
        <v>86</v>
      </c>
      <c r="K355" s="1">
        <v>-22.44796</v>
      </c>
      <c r="L355" s="1">
        <v>-41.739384</v>
      </c>
      <c r="M355" s="1">
        <v>4.0</v>
      </c>
      <c r="Q355" s="1">
        <f t="shared" si="1"/>
        <v>6815</v>
      </c>
    </row>
    <row r="356" ht="15.75" customHeight="1">
      <c r="A356" s="1" t="s">
        <v>1022</v>
      </c>
      <c r="B356" s="2">
        <v>45830.0</v>
      </c>
      <c r="C356" s="1" t="s">
        <v>30</v>
      </c>
      <c r="D356" s="1" t="s">
        <v>1017</v>
      </c>
      <c r="E356" s="1" t="s">
        <v>32</v>
      </c>
      <c r="F356" s="1">
        <v>1059.0</v>
      </c>
      <c r="G356" s="1" t="s">
        <v>136</v>
      </c>
      <c r="H356" s="1">
        <v>2647.0</v>
      </c>
      <c r="I356" s="1" t="s">
        <v>21</v>
      </c>
      <c r="J356" s="1" t="s">
        <v>40</v>
      </c>
      <c r="K356" s="1">
        <v>-22.449534</v>
      </c>
      <c r="L356" s="1">
        <v>-41.761525</v>
      </c>
      <c r="M356" s="1">
        <v>0.0</v>
      </c>
      <c r="Q356" s="1">
        <f t="shared" si="1"/>
        <v>0</v>
      </c>
    </row>
    <row r="357" ht="15.75" customHeight="1">
      <c r="A357" s="1" t="s">
        <v>1023</v>
      </c>
      <c r="B357" s="2">
        <v>45851.0</v>
      </c>
      <c r="C357" s="1" t="s">
        <v>1024</v>
      </c>
      <c r="D357" s="1" t="s">
        <v>1025</v>
      </c>
      <c r="E357" s="1" t="s">
        <v>19</v>
      </c>
      <c r="F357" s="1">
        <v>1136.0</v>
      </c>
      <c r="G357" s="1" t="s">
        <v>1026</v>
      </c>
      <c r="H357" s="1">
        <v>15632.0</v>
      </c>
      <c r="I357" s="1" t="s">
        <v>21</v>
      </c>
      <c r="J357" s="1" t="s">
        <v>205</v>
      </c>
      <c r="K357" s="1">
        <v>-22.431821</v>
      </c>
      <c r="L357" s="1">
        <v>-41.778163</v>
      </c>
      <c r="M357" s="1">
        <v>4.0</v>
      </c>
      <c r="Q357" s="1">
        <f t="shared" si="1"/>
        <v>0</v>
      </c>
    </row>
    <row r="358" ht="15.75" customHeight="1">
      <c r="A358" s="1" t="s">
        <v>1027</v>
      </c>
      <c r="B358" s="2">
        <v>45839.0</v>
      </c>
      <c r="C358" s="1" t="s">
        <v>62</v>
      </c>
      <c r="D358" s="1" t="s">
        <v>1025</v>
      </c>
      <c r="E358" s="1" t="s">
        <v>64</v>
      </c>
      <c r="F358" s="1">
        <v>1136.0</v>
      </c>
      <c r="G358" s="1" t="s">
        <v>163</v>
      </c>
      <c r="H358" s="1">
        <v>3195.0</v>
      </c>
      <c r="I358" s="1" t="s">
        <v>198</v>
      </c>
      <c r="J358" s="1" t="s">
        <v>28</v>
      </c>
      <c r="K358" s="1">
        <v>-22.399267</v>
      </c>
      <c r="L358" s="1">
        <v>-41.718564</v>
      </c>
      <c r="M358" s="1">
        <v>3.0</v>
      </c>
      <c r="Q358" s="1">
        <f t="shared" si="1"/>
        <v>3195</v>
      </c>
    </row>
    <row r="359" ht="15.75" customHeight="1">
      <c r="A359" s="1" t="s">
        <v>1028</v>
      </c>
      <c r="B359" s="2">
        <v>45781.0</v>
      </c>
      <c r="C359" s="1" t="s">
        <v>1029</v>
      </c>
      <c r="D359" s="1" t="s">
        <v>1030</v>
      </c>
      <c r="E359" s="1" t="s">
        <v>392</v>
      </c>
      <c r="F359" s="1">
        <v>2512.0</v>
      </c>
      <c r="G359" s="1" t="s">
        <v>38</v>
      </c>
      <c r="H359" s="1">
        <v>5487.0</v>
      </c>
      <c r="I359" s="1" t="s">
        <v>21</v>
      </c>
      <c r="J359" s="1" t="s">
        <v>86</v>
      </c>
      <c r="K359" s="1">
        <v>-22.439223</v>
      </c>
      <c r="L359" s="1">
        <v>-41.731697</v>
      </c>
      <c r="M359" s="1">
        <v>2.0</v>
      </c>
      <c r="Q359" s="1">
        <f t="shared" si="1"/>
        <v>0</v>
      </c>
    </row>
    <row r="360" ht="15.75" customHeight="1">
      <c r="A360" s="1" t="s">
        <v>1031</v>
      </c>
      <c r="B360" s="2">
        <v>45816.0</v>
      </c>
      <c r="C360" s="1" t="s">
        <v>1032</v>
      </c>
      <c r="D360" s="1" t="s">
        <v>1030</v>
      </c>
      <c r="E360" s="1" t="s">
        <v>59</v>
      </c>
      <c r="F360" s="1">
        <v>1790.0</v>
      </c>
      <c r="G360" s="1" t="s">
        <v>1033</v>
      </c>
      <c r="H360" s="1">
        <v>7004.0</v>
      </c>
      <c r="I360" s="1" t="s">
        <v>21</v>
      </c>
      <c r="J360" s="1" t="s">
        <v>80</v>
      </c>
      <c r="K360" s="1">
        <v>-22.356218</v>
      </c>
      <c r="L360" s="1">
        <v>-41.707139</v>
      </c>
      <c r="M360" s="1">
        <v>4.0</v>
      </c>
      <c r="Q360" s="1">
        <f t="shared" si="1"/>
        <v>0</v>
      </c>
    </row>
    <row r="361" ht="15.75" customHeight="1">
      <c r="A361" s="1" t="s">
        <v>1034</v>
      </c>
      <c r="B361" s="2">
        <v>46004.0</v>
      </c>
      <c r="C361" s="1" t="s">
        <v>979</v>
      </c>
      <c r="D361" s="1" t="s">
        <v>1035</v>
      </c>
      <c r="E361" s="1" t="s">
        <v>32</v>
      </c>
      <c r="F361" s="1">
        <v>1059.0</v>
      </c>
      <c r="G361" s="1" t="s">
        <v>1036</v>
      </c>
      <c r="H361" s="1">
        <v>6083.0</v>
      </c>
      <c r="I361" s="1" t="s">
        <v>21</v>
      </c>
      <c r="J361" s="1" t="s">
        <v>80</v>
      </c>
      <c r="K361" s="1">
        <v>-22.435862</v>
      </c>
      <c r="L361" s="1">
        <v>-41.703961</v>
      </c>
      <c r="M361" s="1">
        <v>1.0</v>
      </c>
      <c r="Q361" s="1">
        <f t="shared" si="1"/>
        <v>0</v>
      </c>
    </row>
    <row r="362" ht="15.75" customHeight="1">
      <c r="A362" s="1" t="s">
        <v>1037</v>
      </c>
      <c r="B362" s="2">
        <v>46024.0</v>
      </c>
      <c r="C362" s="1" t="s">
        <v>372</v>
      </c>
      <c r="D362" s="1" t="s">
        <v>1035</v>
      </c>
      <c r="E362" s="1" t="s">
        <v>78</v>
      </c>
      <c r="F362" s="1">
        <v>195.0</v>
      </c>
      <c r="G362" s="1" t="s">
        <v>504</v>
      </c>
      <c r="H362" s="1">
        <v>1331.0</v>
      </c>
      <c r="I362" s="1" t="s">
        <v>21</v>
      </c>
      <c r="J362" s="1" t="s">
        <v>205</v>
      </c>
      <c r="K362" s="1">
        <v>-22.368909</v>
      </c>
      <c r="L362" s="1">
        <v>-41.709033</v>
      </c>
      <c r="M362" s="1">
        <v>0.0</v>
      </c>
      <c r="Q362" s="1">
        <f t="shared" si="1"/>
        <v>0</v>
      </c>
    </row>
    <row r="363" ht="15.75" customHeight="1">
      <c r="A363" s="1" t="s">
        <v>1038</v>
      </c>
      <c r="B363" s="2">
        <v>45986.0</v>
      </c>
      <c r="C363" s="1" t="s">
        <v>570</v>
      </c>
      <c r="D363" s="1" t="s">
        <v>1039</v>
      </c>
      <c r="E363" s="1" t="s">
        <v>59</v>
      </c>
      <c r="F363" s="1">
        <v>1790.0</v>
      </c>
      <c r="G363" s="1" t="s">
        <v>305</v>
      </c>
      <c r="H363" s="1">
        <v>3849.0</v>
      </c>
      <c r="I363" s="1" t="s">
        <v>21</v>
      </c>
      <c r="J363" s="1" t="s">
        <v>51</v>
      </c>
      <c r="K363" s="1">
        <v>-22.374308</v>
      </c>
      <c r="L363" s="1">
        <v>-41.73568</v>
      </c>
      <c r="M363" s="1">
        <v>4.0</v>
      </c>
      <c r="Q363" s="1">
        <f t="shared" si="1"/>
        <v>0</v>
      </c>
    </row>
    <row r="364" ht="15.75" customHeight="1">
      <c r="A364" s="1" t="s">
        <v>1040</v>
      </c>
      <c r="B364" s="2">
        <v>45957.0</v>
      </c>
      <c r="C364" s="1" t="s">
        <v>320</v>
      </c>
      <c r="D364" s="1" t="s">
        <v>1041</v>
      </c>
      <c r="E364" s="1" t="s">
        <v>185</v>
      </c>
      <c r="F364" s="1">
        <v>3162.0</v>
      </c>
      <c r="G364" s="1" t="s">
        <v>1042</v>
      </c>
      <c r="H364" s="1">
        <v>5773.0</v>
      </c>
      <c r="I364" s="1" t="s">
        <v>21</v>
      </c>
      <c r="J364" s="1" t="s">
        <v>51</v>
      </c>
      <c r="K364" s="1">
        <v>-22.406486</v>
      </c>
      <c r="L364" s="1">
        <v>-41.791761</v>
      </c>
      <c r="M364" s="1">
        <v>3.0</v>
      </c>
      <c r="Q364" s="1">
        <f t="shared" si="1"/>
        <v>0</v>
      </c>
    </row>
    <row r="365" ht="15.75" customHeight="1">
      <c r="A365" s="1" t="s">
        <v>1043</v>
      </c>
      <c r="B365" s="2">
        <v>46056.0</v>
      </c>
      <c r="C365" s="1" t="s">
        <v>17</v>
      </c>
      <c r="D365" s="1" t="s">
        <v>1041</v>
      </c>
      <c r="E365" s="1" t="s">
        <v>19</v>
      </c>
      <c r="F365" s="1">
        <v>1136.0</v>
      </c>
      <c r="G365" s="1" t="s">
        <v>1044</v>
      </c>
      <c r="H365" s="1">
        <v>7488.0</v>
      </c>
      <c r="I365" s="1" t="s">
        <v>198</v>
      </c>
      <c r="J365" s="1" t="s">
        <v>205</v>
      </c>
      <c r="K365" s="1">
        <v>-22.350771</v>
      </c>
      <c r="L365" s="1">
        <v>-41.722926</v>
      </c>
      <c r="M365" s="1">
        <v>2.0</v>
      </c>
      <c r="Q365" s="1">
        <f t="shared" si="1"/>
        <v>7488</v>
      </c>
    </row>
    <row r="366" ht="15.75" customHeight="1">
      <c r="A366" s="1" t="s">
        <v>1045</v>
      </c>
      <c r="B366" s="2">
        <v>45835.0</v>
      </c>
      <c r="C366" s="1" t="s">
        <v>1046</v>
      </c>
      <c r="D366" s="1" t="s">
        <v>1047</v>
      </c>
      <c r="E366" s="1" t="s">
        <v>90</v>
      </c>
      <c r="F366" s="1">
        <v>9435.0</v>
      </c>
      <c r="G366" s="1" t="s">
        <v>1048</v>
      </c>
      <c r="H366" s="1">
        <v>16271.0</v>
      </c>
      <c r="I366" s="1" t="s">
        <v>198</v>
      </c>
      <c r="J366" s="1" t="s">
        <v>40</v>
      </c>
      <c r="K366" s="1">
        <v>-22.396571</v>
      </c>
      <c r="L366" s="1">
        <v>-41.795279</v>
      </c>
      <c r="M366" s="1">
        <v>2.0</v>
      </c>
      <c r="Q366" s="1">
        <f t="shared" si="1"/>
        <v>16271</v>
      </c>
    </row>
    <row r="367" ht="15.75" customHeight="1">
      <c r="A367" s="1" t="s">
        <v>1049</v>
      </c>
      <c r="B367" s="2">
        <v>46102.0</v>
      </c>
      <c r="C367" s="1" t="s">
        <v>1050</v>
      </c>
      <c r="D367" s="1" t="s">
        <v>1051</v>
      </c>
      <c r="E367" s="1" t="s">
        <v>26</v>
      </c>
      <c r="F367" s="1">
        <v>13257.0</v>
      </c>
      <c r="G367" s="1" t="s">
        <v>1052</v>
      </c>
      <c r="H367" s="1">
        <v>17820.0</v>
      </c>
      <c r="I367" s="1" t="s">
        <v>21</v>
      </c>
      <c r="J367" s="1" t="s">
        <v>28</v>
      </c>
      <c r="K367" s="1">
        <v>-22.399125</v>
      </c>
      <c r="L367" s="1">
        <v>-41.731887</v>
      </c>
      <c r="M367" s="1">
        <v>4.0</v>
      </c>
      <c r="Q367" s="1">
        <f t="shared" si="1"/>
        <v>0</v>
      </c>
    </row>
    <row r="368" ht="15.75" customHeight="1">
      <c r="A368" s="1" t="s">
        <v>1053</v>
      </c>
      <c r="B368" s="2">
        <v>45848.0</v>
      </c>
      <c r="C368" s="1" t="s">
        <v>630</v>
      </c>
      <c r="D368" s="1" t="s">
        <v>1054</v>
      </c>
      <c r="E368" s="1" t="s">
        <v>297</v>
      </c>
      <c r="F368" s="1">
        <v>1136.0</v>
      </c>
      <c r="G368" s="1" t="s">
        <v>344</v>
      </c>
      <c r="H368" s="1">
        <v>3648.0</v>
      </c>
      <c r="I368" s="1" t="s">
        <v>198</v>
      </c>
      <c r="J368" s="1" t="s">
        <v>80</v>
      </c>
      <c r="K368" s="1">
        <v>-22.442704</v>
      </c>
      <c r="L368" s="1">
        <v>-41.779639</v>
      </c>
      <c r="M368" s="1">
        <v>1.0</v>
      </c>
      <c r="Q368" s="1">
        <f t="shared" si="1"/>
        <v>3648</v>
      </c>
    </row>
    <row r="369" ht="15.75" customHeight="1">
      <c r="A369" s="1" t="s">
        <v>1055</v>
      </c>
      <c r="B369" s="2">
        <v>46048.0</v>
      </c>
      <c r="C369" s="1" t="s">
        <v>395</v>
      </c>
      <c r="D369" s="1" t="s">
        <v>1056</v>
      </c>
      <c r="E369" s="1" t="s">
        <v>44</v>
      </c>
      <c r="F369" s="1">
        <v>5506.0</v>
      </c>
      <c r="G369" s="1" t="s">
        <v>1057</v>
      </c>
      <c r="H369" s="1">
        <v>12129.0</v>
      </c>
      <c r="I369" s="1" t="s">
        <v>21</v>
      </c>
      <c r="J369" s="1" t="s">
        <v>22</v>
      </c>
      <c r="K369" s="1">
        <v>-22.357569</v>
      </c>
      <c r="L369" s="1">
        <v>-41.799526</v>
      </c>
      <c r="M369" s="1">
        <v>1.0</v>
      </c>
      <c r="Q369" s="1">
        <f t="shared" si="1"/>
        <v>0</v>
      </c>
    </row>
    <row r="370" ht="15.75" customHeight="1">
      <c r="A370" s="1" t="s">
        <v>1058</v>
      </c>
      <c r="B370" s="2">
        <v>46038.0</v>
      </c>
      <c r="C370" s="1" t="s">
        <v>908</v>
      </c>
      <c r="D370" s="1" t="s">
        <v>1056</v>
      </c>
      <c r="E370" s="1" t="s">
        <v>33</v>
      </c>
      <c r="F370" s="1">
        <v>821.0</v>
      </c>
      <c r="G370" s="1" t="s">
        <v>1059</v>
      </c>
      <c r="H370" s="1">
        <v>5549.0</v>
      </c>
      <c r="I370" s="1" t="s">
        <v>21</v>
      </c>
      <c r="J370" s="1" t="s">
        <v>40</v>
      </c>
      <c r="K370" s="1">
        <v>-22.434407</v>
      </c>
      <c r="L370" s="1">
        <v>-41.740125</v>
      </c>
      <c r="M370" s="1">
        <v>3.0</v>
      </c>
      <c r="Q370" s="1">
        <f t="shared" si="1"/>
        <v>0</v>
      </c>
    </row>
    <row r="371" ht="15.75" customHeight="1">
      <c r="A371" s="1" t="s">
        <v>1060</v>
      </c>
      <c r="B371" s="2">
        <v>45867.0</v>
      </c>
      <c r="C371" s="1" t="s">
        <v>1061</v>
      </c>
      <c r="D371" s="1" t="s">
        <v>1062</v>
      </c>
      <c r="E371" s="1" t="s">
        <v>70</v>
      </c>
      <c r="F371" s="1">
        <v>3840.0</v>
      </c>
      <c r="G371" s="1" t="s">
        <v>1063</v>
      </c>
      <c r="H371" s="1">
        <v>25012.0</v>
      </c>
      <c r="I371" s="1" t="s">
        <v>198</v>
      </c>
      <c r="J371" s="1" t="s">
        <v>51</v>
      </c>
      <c r="K371" s="1">
        <v>-22.380972</v>
      </c>
      <c r="L371" s="1">
        <v>-41.758411</v>
      </c>
      <c r="M371" s="1">
        <v>2.0</v>
      </c>
      <c r="Q371" s="1">
        <f t="shared" si="1"/>
        <v>25012</v>
      </c>
    </row>
    <row r="372" ht="15.75" customHeight="1">
      <c r="A372" s="1" t="s">
        <v>1064</v>
      </c>
      <c r="B372" s="2">
        <v>45917.0</v>
      </c>
      <c r="C372" s="1" t="s">
        <v>540</v>
      </c>
      <c r="D372" s="1" t="s">
        <v>1065</v>
      </c>
      <c r="E372" s="1" t="s">
        <v>210</v>
      </c>
      <c r="F372" s="1">
        <v>1588.0</v>
      </c>
      <c r="G372" s="1" t="s">
        <v>1066</v>
      </c>
      <c r="H372" s="1">
        <v>4758.0</v>
      </c>
      <c r="I372" s="1" t="s">
        <v>198</v>
      </c>
      <c r="J372" s="1" t="s">
        <v>40</v>
      </c>
      <c r="K372" s="1">
        <v>-22.387346</v>
      </c>
      <c r="L372" s="1">
        <v>-41.760453</v>
      </c>
      <c r="M372" s="1">
        <v>4.0</v>
      </c>
      <c r="Q372" s="1">
        <f t="shared" si="1"/>
        <v>4758</v>
      </c>
    </row>
    <row r="373" ht="15.75" customHeight="1">
      <c r="A373" s="1" t="s">
        <v>1067</v>
      </c>
      <c r="B373" s="2">
        <v>45775.0</v>
      </c>
      <c r="C373" s="1" t="s">
        <v>638</v>
      </c>
      <c r="D373" s="1" t="s">
        <v>1068</v>
      </c>
      <c r="E373" s="1" t="s">
        <v>392</v>
      </c>
      <c r="F373" s="1">
        <v>2512.0</v>
      </c>
      <c r="G373" s="1" t="s">
        <v>290</v>
      </c>
      <c r="H373" s="1">
        <v>4100.0</v>
      </c>
      <c r="I373" s="1" t="s">
        <v>21</v>
      </c>
      <c r="J373" s="1" t="s">
        <v>28</v>
      </c>
      <c r="K373" s="1">
        <v>-22.359778</v>
      </c>
      <c r="L373" s="1">
        <v>-41.751146</v>
      </c>
      <c r="M373" s="1">
        <v>0.0</v>
      </c>
      <c r="Q373" s="1">
        <f t="shared" si="1"/>
        <v>0</v>
      </c>
    </row>
    <row r="374" ht="15.75" customHeight="1">
      <c r="A374" s="1" t="s">
        <v>1069</v>
      </c>
      <c r="B374" s="2">
        <v>45949.0</v>
      </c>
      <c r="C374" s="1" t="s">
        <v>1070</v>
      </c>
      <c r="D374" s="1" t="s">
        <v>1071</v>
      </c>
      <c r="E374" s="1" t="s">
        <v>60</v>
      </c>
      <c r="F374" s="1">
        <v>2456.0</v>
      </c>
      <c r="G374" s="1" t="s">
        <v>1072</v>
      </c>
      <c r="H374" s="1">
        <v>11316.0</v>
      </c>
      <c r="I374" s="1" t="s">
        <v>198</v>
      </c>
      <c r="J374" s="1" t="s">
        <v>86</v>
      </c>
      <c r="K374" s="1">
        <v>-22.42153</v>
      </c>
      <c r="L374" s="1">
        <v>-41.742989</v>
      </c>
      <c r="M374" s="1">
        <v>4.0</v>
      </c>
      <c r="Q374" s="1">
        <f t="shared" si="1"/>
        <v>11316</v>
      </c>
    </row>
    <row r="375" ht="15.75" customHeight="1">
      <c r="A375" s="1" t="s">
        <v>1073</v>
      </c>
      <c r="B375" s="2">
        <v>45746.0</v>
      </c>
      <c r="C375" s="1" t="s">
        <v>1074</v>
      </c>
      <c r="D375" s="1" t="s">
        <v>1075</v>
      </c>
      <c r="E375" s="1" t="s">
        <v>291</v>
      </c>
      <c r="F375" s="1">
        <v>194.0</v>
      </c>
      <c r="G375" s="1" t="s">
        <v>210</v>
      </c>
      <c r="H375" s="1">
        <v>1782.0</v>
      </c>
      <c r="I375" s="1" t="s">
        <v>21</v>
      </c>
      <c r="J375" s="1" t="s">
        <v>205</v>
      </c>
      <c r="K375" s="1">
        <v>-22.429921</v>
      </c>
      <c r="L375" s="1">
        <v>-41.748177</v>
      </c>
      <c r="M375" s="1">
        <v>4.0</v>
      </c>
      <c r="Q375" s="1">
        <f t="shared" si="1"/>
        <v>0</v>
      </c>
    </row>
    <row r="376" ht="15.75" customHeight="1">
      <c r="A376" s="1" t="s">
        <v>1076</v>
      </c>
      <c r="B376" s="2">
        <v>45892.0</v>
      </c>
      <c r="C376" s="1" t="s">
        <v>516</v>
      </c>
      <c r="D376" s="1" t="s">
        <v>1077</v>
      </c>
      <c r="E376" s="1" t="s">
        <v>297</v>
      </c>
      <c r="F376" s="1">
        <v>1136.0</v>
      </c>
      <c r="G376" s="1" t="s">
        <v>1078</v>
      </c>
      <c r="H376" s="1">
        <v>3843.0</v>
      </c>
      <c r="I376" s="1" t="s">
        <v>21</v>
      </c>
      <c r="J376" s="1" t="s">
        <v>51</v>
      </c>
      <c r="K376" s="1">
        <v>-22.431552</v>
      </c>
      <c r="L376" s="1">
        <v>-41.723746</v>
      </c>
      <c r="M376" s="1">
        <v>0.0</v>
      </c>
      <c r="Q376" s="1">
        <f t="shared" si="1"/>
        <v>0</v>
      </c>
    </row>
    <row r="377" ht="15.75" customHeight="1">
      <c r="A377" s="1" t="s">
        <v>1079</v>
      </c>
      <c r="B377" s="2">
        <v>46106.0</v>
      </c>
      <c r="C377" s="1" t="s">
        <v>1080</v>
      </c>
      <c r="D377" s="1" t="s">
        <v>1081</v>
      </c>
      <c r="E377" s="1" t="s">
        <v>121</v>
      </c>
      <c r="F377" s="1">
        <v>7364.0</v>
      </c>
      <c r="G377" s="1" t="s">
        <v>392</v>
      </c>
      <c r="H377" s="1">
        <v>9876.0</v>
      </c>
      <c r="I377" s="1" t="s">
        <v>198</v>
      </c>
      <c r="J377" s="1" t="s">
        <v>205</v>
      </c>
      <c r="K377" s="1">
        <v>-22.3903</v>
      </c>
      <c r="L377" s="1">
        <v>-41.795895</v>
      </c>
      <c r="M377" s="1">
        <v>1.0</v>
      </c>
      <c r="Q377" s="1">
        <f t="shared" si="1"/>
        <v>9876</v>
      </c>
    </row>
    <row r="378" ht="15.75" customHeight="1">
      <c r="A378" s="1" t="s">
        <v>1082</v>
      </c>
      <c r="B378" s="2">
        <v>45702.0</v>
      </c>
      <c r="C378" s="1" t="s">
        <v>1083</v>
      </c>
      <c r="D378" s="1" t="s">
        <v>1081</v>
      </c>
      <c r="E378" s="1" t="s">
        <v>50</v>
      </c>
      <c r="F378" s="1">
        <v>1588.0</v>
      </c>
      <c r="G378" s="1" t="s">
        <v>44</v>
      </c>
      <c r="H378" s="1">
        <v>7094.0</v>
      </c>
      <c r="I378" s="1" t="s">
        <v>198</v>
      </c>
      <c r="J378" s="1" t="s">
        <v>40</v>
      </c>
      <c r="K378" s="1">
        <v>-22.355141</v>
      </c>
      <c r="L378" s="1">
        <v>-41.765865</v>
      </c>
      <c r="M378" s="1">
        <v>4.0</v>
      </c>
      <c r="Q378" s="1">
        <f t="shared" si="1"/>
        <v>7094</v>
      </c>
    </row>
    <row r="379" ht="15.75" customHeight="1">
      <c r="A379" s="1" t="s">
        <v>1084</v>
      </c>
      <c r="B379" s="2">
        <v>46131.0</v>
      </c>
      <c r="C379" s="1" t="s">
        <v>1085</v>
      </c>
      <c r="D379" s="1" t="s">
        <v>1081</v>
      </c>
      <c r="E379" s="1" t="s">
        <v>55</v>
      </c>
      <c r="F379" s="1">
        <v>2409.0</v>
      </c>
      <c r="G379" s="1" t="s">
        <v>136</v>
      </c>
      <c r="H379" s="1">
        <v>3997.0</v>
      </c>
      <c r="I379" s="1" t="s">
        <v>21</v>
      </c>
      <c r="J379" s="1" t="s">
        <v>40</v>
      </c>
      <c r="K379" s="1">
        <v>-22.410869</v>
      </c>
      <c r="L379" s="1">
        <v>-41.78469</v>
      </c>
      <c r="M379" s="1">
        <v>1.0</v>
      </c>
      <c r="Q379" s="1">
        <f t="shared" si="1"/>
        <v>0</v>
      </c>
    </row>
    <row r="380" ht="15.75" customHeight="1">
      <c r="A380" s="1" t="s">
        <v>1086</v>
      </c>
      <c r="B380" s="2">
        <v>46001.0</v>
      </c>
      <c r="C380" s="1" t="s">
        <v>1087</v>
      </c>
      <c r="D380" s="1" t="s">
        <v>1081</v>
      </c>
      <c r="E380" s="1" t="s">
        <v>185</v>
      </c>
      <c r="F380" s="1">
        <v>3162.0</v>
      </c>
      <c r="G380" s="1" t="s">
        <v>1088</v>
      </c>
      <c r="H380" s="1">
        <v>14570.0</v>
      </c>
      <c r="I380" s="1" t="s">
        <v>21</v>
      </c>
      <c r="J380" s="1" t="s">
        <v>40</v>
      </c>
      <c r="K380" s="1">
        <v>-22.362866</v>
      </c>
      <c r="L380" s="1">
        <v>-41.793062</v>
      </c>
      <c r="M380" s="1">
        <v>3.0</v>
      </c>
      <c r="Q380" s="1">
        <f t="shared" si="1"/>
        <v>0</v>
      </c>
    </row>
    <row r="381" ht="15.75" customHeight="1">
      <c r="A381" s="1" t="s">
        <v>1089</v>
      </c>
      <c r="B381" s="2">
        <v>45804.0</v>
      </c>
      <c r="C381" s="1" t="s">
        <v>147</v>
      </c>
      <c r="D381" s="1" t="s">
        <v>1081</v>
      </c>
      <c r="E381" s="1" t="s">
        <v>33</v>
      </c>
      <c r="F381" s="1">
        <v>821.0</v>
      </c>
      <c r="G381" s="1" t="s">
        <v>1090</v>
      </c>
      <c r="H381" s="1">
        <v>19584.0</v>
      </c>
      <c r="I381" s="1" t="s">
        <v>21</v>
      </c>
      <c r="J381" s="1" t="s">
        <v>80</v>
      </c>
      <c r="K381" s="1">
        <v>-22.444329</v>
      </c>
      <c r="L381" s="1">
        <v>-41.731524</v>
      </c>
      <c r="M381" s="1">
        <v>4.0</v>
      </c>
      <c r="Q381" s="1">
        <f t="shared" si="1"/>
        <v>0</v>
      </c>
    </row>
    <row r="382" ht="15.75" customHeight="1">
      <c r="A382" s="1" t="s">
        <v>1091</v>
      </c>
      <c r="B382" s="2">
        <v>45987.0</v>
      </c>
      <c r="C382" s="1" t="s">
        <v>1092</v>
      </c>
      <c r="D382" s="1" t="s">
        <v>1081</v>
      </c>
      <c r="E382" s="1" t="s">
        <v>210</v>
      </c>
      <c r="F382" s="1">
        <v>1588.0</v>
      </c>
      <c r="G382" s="1" t="s">
        <v>1093</v>
      </c>
      <c r="H382" s="1">
        <v>6758.0</v>
      </c>
      <c r="I382" s="1" t="s">
        <v>21</v>
      </c>
      <c r="J382" s="1" t="s">
        <v>40</v>
      </c>
      <c r="K382" s="1">
        <v>-22.435651</v>
      </c>
      <c r="L382" s="1">
        <v>-41.789621</v>
      </c>
      <c r="M382" s="1">
        <v>2.0</v>
      </c>
      <c r="Q382" s="1">
        <f t="shared" si="1"/>
        <v>0</v>
      </c>
    </row>
    <row r="383" ht="15.75" customHeight="1">
      <c r="A383" s="1" t="s">
        <v>1094</v>
      </c>
      <c r="B383" s="2">
        <v>45717.0</v>
      </c>
      <c r="C383" s="1" t="s">
        <v>1095</v>
      </c>
      <c r="D383" s="1" t="s">
        <v>1081</v>
      </c>
      <c r="E383" s="1" t="s">
        <v>290</v>
      </c>
      <c r="F383" s="1">
        <v>1588.0</v>
      </c>
      <c r="G383" s="1" t="s">
        <v>504</v>
      </c>
      <c r="H383" s="1">
        <v>2724.0</v>
      </c>
      <c r="I383" s="1" t="s">
        <v>21</v>
      </c>
      <c r="J383" s="1" t="s">
        <v>22</v>
      </c>
      <c r="K383" s="1">
        <v>-22.3643</v>
      </c>
      <c r="L383" s="1">
        <v>-41.723782</v>
      </c>
      <c r="M383" s="1">
        <v>3.0</v>
      </c>
      <c r="Q383" s="1">
        <f t="shared" si="1"/>
        <v>0</v>
      </c>
    </row>
    <row r="384" ht="15.75" customHeight="1">
      <c r="A384" s="1" t="s">
        <v>1096</v>
      </c>
      <c r="B384" s="2">
        <v>46145.0</v>
      </c>
      <c r="C384" s="1" t="s">
        <v>1097</v>
      </c>
      <c r="D384" s="1" t="s">
        <v>1081</v>
      </c>
      <c r="E384" s="1" t="s">
        <v>297</v>
      </c>
      <c r="F384" s="1">
        <v>1136.0</v>
      </c>
      <c r="G384" s="1" t="s">
        <v>1098</v>
      </c>
      <c r="H384" s="1">
        <v>12766.0</v>
      </c>
      <c r="I384" s="1" t="s">
        <v>21</v>
      </c>
      <c r="J384" s="1" t="s">
        <v>51</v>
      </c>
      <c r="K384" s="1">
        <v>-22.421753</v>
      </c>
      <c r="L384" s="1">
        <v>-41.738395</v>
      </c>
      <c r="M384" s="1">
        <v>4.0</v>
      </c>
      <c r="Q384" s="1">
        <f t="shared" si="1"/>
        <v>0</v>
      </c>
    </row>
    <row r="385" ht="15.75" customHeight="1">
      <c r="A385" s="1" t="s">
        <v>1099</v>
      </c>
      <c r="B385" s="2">
        <v>46011.0</v>
      </c>
      <c r="C385" s="1" t="s">
        <v>1100</v>
      </c>
      <c r="D385" s="1" t="s">
        <v>1101</v>
      </c>
      <c r="E385" s="1" t="s">
        <v>392</v>
      </c>
      <c r="F385" s="1">
        <v>2512.0</v>
      </c>
      <c r="G385" s="1" t="s">
        <v>1102</v>
      </c>
      <c r="H385" s="1">
        <v>7896.0</v>
      </c>
      <c r="I385" s="1" t="s">
        <v>198</v>
      </c>
      <c r="J385" s="1" t="s">
        <v>205</v>
      </c>
      <c r="K385" s="1">
        <v>-22.358057</v>
      </c>
      <c r="L385" s="1">
        <v>-41.784686</v>
      </c>
      <c r="M385" s="1">
        <v>3.0</v>
      </c>
      <c r="Q385" s="1">
        <f t="shared" si="1"/>
        <v>7896</v>
      </c>
    </row>
    <row r="386" ht="15.75" customHeight="1">
      <c r="A386" s="1" t="s">
        <v>1103</v>
      </c>
      <c r="B386" s="2">
        <v>45836.0</v>
      </c>
      <c r="C386" s="1" t="s">
        <v>1104</v>
      </c>
      <c r="D386" s="1" t="s">
        <v>1101</v>
      </c>
      <c r="E386" s="1" t="s">
        <v>356</v>
      </c>
      <c r="F386" s="1">
        <v>0.0</v>
      </c>
      <c r="G386" s="1" t="s">
        <v>171</v>
      </c>
      <c r="H386" s="1">
        <v>3647.0</v>
      </c>
      <c r="I386" s="1" t="s">
        <v>198</v>
      </c>
      <c r="J386" s="1" t="s">
        <v>86</v>
      </c>
      <c r="K386" s="1">
        <v>-22.361806</v>
      </c>
      <c r="L386" s="1">
        <v>-41.763192</v>
      </c>
      <c r="M386" s="1">
        <v>3.0</v>
      </c>
      <c r="Q386" s="1">
        <f t="shared" si="1"/>
        <v>3647</v>
      </c>
    </row>
    <row r="387" ht="15.75" customHeight="1">
      <c r="A387" s="1" t="s">
        <v>1105</v>
      </c>
      <c r="B387" s="2">
        <v>46128.0</v>
      </c>
      <c r="C387" s="1" t="s">
        <v>509</v>
      </c>
      <c r="D387" s="1" t="s">
        <v>1106</v>
      </c>
      <c r="E387" s="1" t="s">
        <v>19</v>
      </c>
      <c r="F387" s="1">
        <v>1136.0</v>
      </c>
      <c r="G387" s="1" t="s">
        <v>1107</v>
      </c>
      <c r="H387" s="1">
        <v>13981.0</v>
      </c>
      <c r="I387" s="1" t="s">
        <v>21</v>
      </c>
      <c r="J387" s="1" t="s">
        <v>34</v>
      </c>
      <c r="K387" s="1">
        <v>-22.351251</v>
      </c>
      <c r="L387" s="1">
        <v>-41.787498</v>
      </c>
      <c r="M387" s="1">
        <v>3.0</v>
      </c>
      <c r="Q387" s="1">
        <f t="shared" si="1"/>
        <v>0</v>
      </c>
    </row>
    <row r="388" ht="15.75" customHeight="1">
      <c r="A388" s="1" t="s">
        <v>1108</v>
      </c>
      <c r="B388" s="2">
        <v>46085.0</v>
      </c>
      <c r="C388" s="1" t="s">
        <v>300</v>
      </c>
      <c r="D388" s="1" t="s">
        <v>1106</v>
      </c>
      <c r="E388" s="1" t="s">
        <v>38</v>
      </c>
      <c r="F388" s="1">
        <v>2975.0</v>
      </c>
      <c r="G388" s="1" t="s">
        <v>1109</v>
      </c>
      <c r="H388" s="1">
        <v>9617.0</v>
      </c>
      <c r="I388" s="1" t="s">
        <v>198</v>
      </c>
      <c r="J388" s="1" t="s">
        <v>205</v>
      </c>
      <c r="K388" s="1">
        <v>-22.405611</v>
      </c>
      <c r="L388" s="1">
        <v>-41.761156</v>
      </c>
      <c r="M388" s="1">
        <v>3.0</v>
      </c>
      <c r="Q388" s="1">
        <f t="shared" si="1"/>
        <v>9617</v>
      </c>
    </row>
    <row r="389" ht="15.75" customHeight="1">
      <c r="A389" s="1" t="s">
        <v>1110</v>
      </c>
      <c r="B389" s="2">
        <v>45868.0</v>
      </c>
      <c r="C389" s="1" t="s">
        <v>268</v>
      </c>
      <c r="D389" s="1" t="s">
        <v>1106</v>
      </c>
      <c r="E389" s="1" t="s">
        <v>136</v>
      </c>
      <c r="F389" s="1">
        <v>1588.0</v>
      </c>
      <c r="G389" s="1" t="s">
        <v>1111</v>
      </c>
      <c r="H389" s="1">
        <v>11196.0</v>
      </c>
      <c r="I389" s="1" t="s">
        <v>21</v>
      </c>
      <c r="J389" s="1" t="s">
        <v>34</v>
      </c>
      <c r="K389" s="1">
        <v>-22.378741</v>
      </c>
      <c r="L389" s="1">
        <v>-41.743161</v>
      </c>
      <c r="M389" s="1">
        <v>1.0</v>
      </c>
      <c r="Q389" s="1">
        <f t="shared" si="1"/>
        <v>0</v>
      </c>
    </row>
    <row r="390" ht="15.75" customHeight="1">
      <c r="A390" s="1" t="s">
        <v>1112</v>
      </c>
      <c r="B390" s="2">
        <v>46041.0</v>
      </c>
      <c r="C390" s="1" t="s">
        <v>900</v>
      </c>
      <c r="D390" s="1" t="s">
        <v>1106</v>
      </c>
      <c r="E390" s="1" t="s">
        <v>409</v>
      </c>
      <c r="F390" s="1">
        <v>1136.0</v>
      </c>
      <c r="G390" s="1" t="s">
        <v>1113</v>
      </c>
      <c r="H390" s="1">
        <v>4604.0</v>
      </c>
      <c r="I390" s="1" t="s">
        <v>198</v>
      </c>
      <c r="J390" s="1" t="s">
        <v>34</v>
      </c>
      <c r="K390" s="1">
        <v>-22.410717</v>
      </c>
      <c r="L390" s="1">
        <v>-41.752977</v>
      </c>
      <c r="M390" s="1">
        <v>2.0</v>
      </c>
      <c r="Q390" s="1">
        <f t="shared" si="1"/>
        <v>4604</v>
      </c>
    </row>
    <row r="391" ht="15.75" customHeight="1">
      <c r="A391" s="1" t="s">
        <v>1114</v>
      </c>
      <c r="B391" s="2">
        <v>45710.0</v>
      </c>
      <c r="C391" s="1" t="s">
        <v>716</v>
      </c>
      <c r="D391" s="1" t="s">
        <v>1106</v>
      </c>
      <c r="E391" s="1" t="s">
        <v>356</v>
      </c>
      <c r="F391" s="1">
        <v>0.0</v>
      </c>
      <c r="G391" s="1" t="s">
        <v>1115</v>
      </c>
      <c r="H391" s="1">
        <v>18744.0</v>
      </c>
      <c r="I391" s="1" t="s">
        <v>198</v>
      </c>
      <c r="J391" s="1" t="s">
        <v>34</v>
      </c>
      <c r="K391" s="1">
        <v>-22.416232</v>
      </c>
      <c r="L391" s="1">
        <v>-41.711008</v>
      </c>
      <c r="M391" s="1">
        <v>1.0</v>
      </c>
      <c r="Q391" s="1">
        <f t="shared" si="1"/>
        <v>18744</v>
      </c>
    </row>
    <row r="392" ht="15.75" customHeight="1">
      <c r="A392" s="1" t="s">
        <v>1116</v>
      </c>
      <c r="B392" s="2">
        <v>46111.0</v>
      </c>
      <c r="C392" s="1" t="s">
        <v>900</v>
      </c>
      <c r="D392" s="1" t="s">
        <v>1106</v>
      </c>
      <c r="E392" s="1" t="s">
        <v>409</v>
      </c>
      <c r="F392" s="1">
        <v>1136.0</v>
      </c>
      <c r="G392" s="1" t="s">
        <v>1117</v>
      </c>
      <c r="H392" s="1">
        <v>16452.0</v>
      </c>
      <c r="I392" s="1" t="s">
        <v>21</v>
      </c>
      <c r="J392" s="1" t="s">
        <v>34</v>
      </c>
      <c r="K392" s="1">
        <v>-22.411403</v>
      </c>
      <c r="L392" s="1">
        <v>-41.733301</v>
      </c>
      <c r="M392" s="1">
        <v>0.0</v>
      </c>
      <c r="Q392" s="1">
        <f t="shared" si="1"/>
        <v>0</v>
      </c>
    </row>
    <row r="393" ht="15.75" customHeight="1">
      <c r="A393" s="1" t="s">
        <v>1118</v>
      </c>
      <c r="B393" s="2">
        <v>45860.0</v>
      </c>
      <c r="C393" s="1" t="s">
        <v>369</v>
      </c>
      <c r="D393" s="1" t="s">
        <v>1119</v>
      </c>
      <c r="E393" s="1" t="s">
        <v>197</v>
      </c>
      <c r="F393" s="1">
        <v>195.0</v>
      </c>
      <c r="G393" s="1" t="s">
        <v>1120</v>
      </c>
      <c r="H393" s="1">
        <v>5180.0</v>
      </c>
      <c r="I393" s="1" t="s">
        <v>198</v>
      </c>
      <c r="J393" s="1" t="s">
        <v>51</v>
      </c>
      <c r="K393" s="1">
        <v>-22.418351</v>
      </c>
      <c r="L393" s="1">
        <v>-41.77543</v>
      </c>
      <c r="M393" s="1">
        <v>1.0</v>
      </c>
      <c r="Q393" s="1">
        <f t="shared" si="1"/>
        <v>5180</v>
      </c>
    </row>
    <row r="394" ht="15.75" customHeight="1">
      <c r="A394" s="1" t="s">
        <v>1121</v>
      </c>
      <c r="B394" s="2">
        <v>45757.0</v>
      </c>
      <c r="C394" s="1" t="s">
        <v>1122</v>
      </c>
      <c r="D394" s="1" t="s">
        <v>1119</v>
      </c>
      <c r="E394" s="1" t="s">
        <v>314</v>
      </c>
      <c r="F394" s="1">
        <v>1790.0</v>
      </c>
      <c r="G394" s="1" t="s">
        <v>1123</v>
      </c>
      <c r="H394" s="1">
        <v>8605.0</v>
      </c>
      <c r="I394" s="1" t="s">
        <v>21</v>
      </c>
      <c r="J394" s="1" t="s">
        <v>22</v>
      </c>
      <c r="K394" s="1">
        <v>-22.447853</v>
      </c>
      <c r="L394" s="1">
        <v>-41.707983</v>
      </c>
      <c r="M394" s="1">
        <v>0.0</v>
      </c>
      <c r="Q394" s="1">
        <f t="shared" si="1"/>
        <v>0</v>
      </c>
    </row>
    <row r="395" ht="15.75" customHeight="1">
      <c r="A395" s="1" t="s">
        <v>1124</v>
      </c>
      <c r="B395" s="2">
        <v>45865.0</v>
      </c>
      <c r="C395" s="1" t="s">
        <v>381</v>
      </c>
      <c r="D395" s="1" t="s">
        <v>1119</v>
      </c>
      <c r="E395" s="1" t="s">
        <v>90</v>
      </c>
      <c r="F395" s="1">
        <v>9435.0</v>
      </c>
      <c r="G395" s="1" t="s">
        <v>1125</v>
      </c>
      <c r="H395" s="1">
        <v>13469.0</v>
      </c>
      <c r="I395" s="1" t="s">
        <v>198</v>
      </c>
      <c r="J395" s="1" t="s">
        <v>34</v>
      </c>
      <c r="K395" s="1">
        <v>-22.419244</v>
      </c>
      <c r="L395" s="1">
        <v>-41.793398</v>
      </c>
      <c r="M395" s="1">
        <v>1.0</v>
      </c>
      <c r="Q395" s="1">
        <f t="shared" si="1"/>
        <v>13469</v>
      </c>
    </row>
    <row r="396" ht="15.75" customHeight="1">
      <c r="A396" s="1" t="s">
        <v>1126</v>
      </c>
      <c r="B396" s="2">
        <v>46004.0</v>
      </c>
      <c r="C396" s="1" t="s">
        <v>1127</v>
      </c>
      <c r="D396" s="1" t="s">
        <v>1119</v>
      </c>
      <c r="E396" s="1" t="s">
        <v>70</v>
      </c>
      <c r="F396" s="1">
        <v>3840.0</v>
      </c>
      <c r="G396" s="1" t="s">
        <v>1128</v>
      </c>
      <c r="H396" s="1">
        <v>8142.0</v>
      </c>
      <c r="I396" s="1" t="s">
        <v>198</v>
      </c>
      <c r="J396" s="1" t="s">
        <v>86</v>
      </c>
      <c r="K396" s="1">
        <v>-22.419676</v>
      </c>
      <c r="L396" s="1">
        <v>-41.719766</v>
      </c>
      <c r="M396" s="1">
        <v>1.0</v>
      </c>
      <c r="Q396" s="1">
        <f t="shared" si="1"/>
        <v>8142</v>
      </c>
    </row>
    <row r="397" ht="15.75" customHeight="1">
      <c r="A397" s="1" t="s">
        <v>1129</v>
      </c>
      <c r="B397" s="2">
        <v>46083.0</v>
      </c>
      <c r="C397" s="1" t="s">
        <v>113</v>
      </c>
      <c r="D397" s="1" t="s">
        <v>1119</v>
      </c>
      <c r="E397" s="1" t="s">
        <v>69</v>
      </c>
      <c r="F397" s="1">
        <v>4825.0</v>
      </c>
      <c r="G397" s="1" t="s">
        <v>60</v>
      </c>
      <c r="H397" s="1">
        <v>7281.0</v>
      </c>
      <c r="I397" s="1" t="s">
        <v>21</v>
      </c>
      <c r="J397" s="1" t="s">
        <v>51</v>
      </c>
      <c r="K397" s="1">
        <v>-22.434172</v>
      </c>
      <c r="L397" s="1">
        <v>-41.744768</v>
      </c>
      <c r="M397" s="1">
        <v>0.0</v>
      </c>
      <c r="Q397" s="1">
        <f t="shared" si="1"/>
        <v>0</v>
      </c>
    </row>
    <row r="398" ht="15.75" customHeight="1">
      <c r="A398" s="1" t="s">
        <v>1130</v>
      </c>
      <c r="B398" s="2">
        <v>46113.0</v>
      </c>
      <c r="C398" s="1" t="s">
        <v>282</v>
      </c>
      <c r="D398" s="1" t="s">
        <v>1119</v>
      </c>
      <c r="E398" s="1" t="s">
        <v>45</v>
      </c>
      <c r="F398" s="1">
        <v>3162.0</v>
      </c>
      <c r="G398" s="1" t="s">
        <v>1131</v>
      </c>
      <c r="H398" s="1">
        <v>6690.0</v>
      </c>
      <c r="I398" s="1" t="s">
        <v>21</v>
      </c>
      <c r="J398" s="1" t="s">
        <v>40</v>
      </c>
      <c r="K398" s="1">
        <v>-22.43644</v>
      </c>
      <c r="L398" s="1">
        <v>-41.761905</v>
      </c>
      <c r="M398" s="1">
        <v>0.0</v>
      </c>
      <c r="Q398" s="1">
        <f t="shared" si="1"/>
        <v>0</v>
      </c>
    </row>
    <row r="399" ht="15.75" customHeight="1">
      <c r="A399" s="1" t="s">
        <v>1132</v>
      </c>
      <c r="B399" s="2">
        <v>46109.0</v>
      </c>
      <c r="C399" s="1" t="s">
        <v>519</v>
      </c>
      <c r="D399" s="1" t="s">
        <v>1119</v>
      </c>
      <c r="E399" s="1" t="s">
        <v>177</v>
      </c>
      <c r="F399" s="1">
        <v>3271.0</v>
      </c>
      <c r="G399" s="1" t="s">
        <v>1133</v>
      </c>
      <c r="H399" s="1">
        <v>9232.0</v>
      </c>
      <c r="I399" s="1" t="s">
        <v>198</v>
      </c>
      <c r="J399" s="1" t="s">
        <v>28</v>
      </c>
      <c r="K399" s="1">
        <v>-22.405267</v>
      </c>
      <c r="L399" s="1">
        <v>-41.798014</v>
      </c>
      <c r="M399" s="1">
        <v>4.0</v>
      </c>
      <c r="Q399" s="1">
        <f t="shared" si="1"/>
        <v>9232</v>
      </c>
    </row>
    <row r="400" ht="15.75" customHeight="1">
      <c r="A400" s="1" t="s">
        <v>1134</v>
      </c>
      <c r="B400" s="2">
        <v>46036.0</v>
      </c>
      <c r="C400" s="1" t="s">
        <v>372</v>
      </c>
      <c r="D400" s="1" t="s">
        <v>1135</v>
      </c>
      <c r="E400" s="1" t="s">
        <v>78</v>
      </c>
      <c r="F400" s="1">
        <v>195.0</v>
      </c>
      <c r="G400" s="1" t="s">
        <v>1136</v>
      </c>
      <c r="H400" s="1">
        <v>6961.0</v>
      </c>
      <c r="I400" s="1" t="s">
        <v>21</v>
      </c>
      <c r="J400" s="1" t="s">
        <v>28</v>
      </c>
      <c r="K400" s="1">
        <v>-22.436506</v>
      </c>
      <c r="L400" s="1">
        <v>-41.76999</v>
      </c>
      <c r="M400" s="1">
        <v>0.0</v>
      </c>
      <c r="Q400" s="1">
        <f t="shared" si="1"/>
        <v>0</v>
      </c>
    </row>
    <row r="401" ht="15.75" customHeight="1">
      <c r="A401" s="1" t="s">
        <v>1137</v>
      </c>
      <c r="B401" s="2">
        <v>45986.0</v>
      </c>
      <c r="C401" s="1" t="s">
        <v>1138</v>
      </c>
      <c r="D401" s="1" t="s">
        <v>1135</v>
      </c>
      <c r="E401" s="1" t="s">
        <v>504</v>
      </c>
      <c r="F401" s="1">
        <v>1136.0</v>
      </c>
      <c r="G401" s="1" t="s">
        <v>344</v>
      </c>
      <c r="H401" s="1">
        <v>3648.0</v>
      </c>
      <c r="I401" s="1" t="s">
        <v>21</v>
      </c>
      <c r="J401" s="1" t="s">
        <v>22</v>
      </c>
      <c r="K401" s="1">
        <v>-22.414529</v>
      </c>
      <c r="L401" s="1">
        <v>-41.701643</v>
      </c>
      <c r="M401" s="1">
        <v>2.0</v>
      </c>
      <c r="Q401" s="1">
        <f t="shared" si="1"/>
        <v>0</v>
      </c>
    </row>
    <row r="402" ht="15.75" customHeight="1">
      <c r="A402" s="1" t="s">
        <v>1139</v>
      </c>
      <c r="B402" s="2">
        <v>45831.0</v>
      </c>
      <c r="C402" s="1" t="s">
        <v>372</v>
      </c>
      <c r="D402" s="1" t="s">
        <v>1140</v>
      </c>
      <c r="E402" s="1" t="s">
        <v>78</v>
      </c>
      <c r="F402" s="1">
        <v>195.0</v>
      </c>
      <c r="G402" s="1" t="s">
        <v>38</v>
      </c>
      <c r="H402" s="1">
        <v>3170.0</v>
      </c>
      <c r="I402" s="1" t="s">
        <v>198</v>
      </c>
      <c r="J402" s="1" t="s">
        <v>86</v>
      </c>
      <c r="K402" s="1">
        <v>-22.430798</v>
      </c>
      <c r="L402" s="1">
        <v>-41.771975</v>
      </c>
      <c r="M402" s="1">
        <v>2.0</v>
      </c>
      <c r="Q402" s="1">
        <f t="shared" si="1"/>
        <v>3170</v>
      </c>
    </row>
    <row r="403" ht="15.75" customHeight="1">
      <c r="A403" s="1" t="s">
        <v>1141</v>
      </c>
      <c r="B403" s="2">
        <v>45828.0</v>
      </c>
      <c r="C403" s="1" t="s">
        <v>1142</v>
      </c>
      <c r="D403" s="1" t="s">
        <v>1140</v>
      </c>
      <c r="E403" s="1" t="s">
        <v>305</v>
      </c>
      <c r="F403" s="1">
        <v>2059.0</v>
      </c>
      <c r="G403" s="1" t="s">
        <v>78</v>
      </c>
      <c r="H403" s="1">
        <v>2254.0</v>
      </c>
      <c r="I403" s="1" t="s">
        <v>198</v>
      </c>
      <c r="J403" s="1" t="s">
        <v>34</v>
      </c>
      <c r="K403" s="1">
        <v>-22.379949</v>
      </c>
      <c r="L403" s="1">
        <v>-41.773689</v>
      </c>
      <c r="M403" s="1">
        <v>0.0</v>
      </c>
      <c r="Q403" s="1">
        <f t="shared" si="1"/>
        <v>2254</v>
      </c>
    </row>
    <row r="404" ht="15.75" customHeight="1">
      <c r="A404" s="1" t="s">
        <v>1143</v>
      </c>
      <c r="B404" s="2">
        <v>45740.0</v>
      </c>
      <c r="C404" s="1" t="s">
        <v>1144</v>
      </c>
      <c r="D404" s="1" t="s">
        <v>1140</v>
      </c>
      <c r="E404" s="1" t="s">
        <v>130</v>
      </c>
      <c r="F404" s="1">
        <v>13257.0</v>
      </c>
      <c r="G404" s="1" t="s">
        <v>1145</v>
      </c>
      <c r="H404" s="1">
        <v>14588.0</v>
      </c>
      <c r="I404" s="1" t="s">
        <v>198</v>
      </c>
      <c r="J404" s="1" t="s">
        <v>40</v>
      </c>
      <c r="K404" s="1">
        <v>-22.436935</v>
      </c>
      <c r="L404" s="1">
        <v>-41.702175</v>
      </c>
      <c r="M404" s="1">
        <v>2.0</v>
      </c>
      <c r="Q404" s="1">
        <f t="shared" si="1"/>
        <v>14588</v>
      </c>
    </row>
    <row r="405" ht="15.75" customHeight="1">
      <c r="A405" s="1" t="s">
        <v>1146</v>
      </c>
      <c r="B405" s="2">
        <v>45967.0</v>
      </c>
      <c r="C405" s="1" t="s">
        <v>1147</v>
      </c>
      <c r="D405" s="1" t="s">
        <v>1140</v>
      </c>
      <c r="E405" s="1" t="s">
        <v>70</v>
      </c>
      <c r="F405" s="1">
        <v>3840.0</v>
      </c>
      <c r="G405" s="1" t="s">
        <v>115</v>
      </c>
      <c r="H405" s="1">
        <v>9346.0</v>
      </c>
      <c r="I405" s="1" t="s">
        <v>21</v>
      </c>
      <c r="J405" s="1" t="s">
        <v>34</v>
      </c>
      <c r="K405" s="1">
        <v>-22.359547</v>
      </c>
      <c r="L405" s="1">
        <v>-41.761998</v>
      </c>
      <c r="M405" s="1">
        <v>3.0</v>
      </c>
      <c r="Q405" s="1">
        <f t="shared" si="1"/>
        <v>0</v>
      </c>
    </row>
    <row r="406" ht="15.75" customHeight="1">
      <c r="A406" s="1" t="s">
        <v>1148</v>
      </c>
      <c r="B406" s="2">
        <v>46092.0</v>
      </c>
      <c r="C406" s="1" t="s">
        <v>516</v>
      </c>
      <c r="D406" s="1" t="s">
        <v>1140</v>
      </c>
      <c r="E406" s="1" t="s">
        <v>297</v>
      </c>
      <c r="F406" s="1">
        <v>1136.0</v>
      </c>
      <c r="G406" s="1" t="s">
        <v>1149</v>
      </c>
      <c r="H406" s="1">
        <v>6570.0</v>
      </c>
      <c r="I406" s="1" t="s">
        <v>198</v>
      </c>
      <c r="J406" s="1" t="s">
        <v>80</v>
      </c>
      <c r="K406" s="1">
        <v>-22.436766</v>
      </c>
      <c r="L406" s="1">
        <v>-41.765376</v>
      </c>
      <c r="M406" s="1">
        <v>3.0</v>
      </c>
      <c r="Q406" s="1">
        <f t="shared" si="1"/>
        <v>6570</v>
      </c>
    </row>
    <row r="407" ht="15.75" customHeight="1">
      <c r="A407" s="1" t="s">
        <v>1150</v>
      </c>
      <c r="B407" s="2">
        <v>45743.0</v>
      </c>
      <c r="C407" s="1" t="s">
        <v>1151</v>
      </c>
      <c r="D407" s="1" t="s">
        <v>1152</v>
      </c>
      <c r="E407" s="1" t="s">
        <v>55</v>
      </c>
      <c r="F407" s="1">
        <v>2409.0</v>
      </c>
      <c r="G407" s="1" t="s">
        <v>1153</v>
      </c>
      <c r="H407" s="1">
        <v>20229.0</v>
      </c>
      <c r="I407" s="1" t="s">
        <v>198</v>
      </c>
      <c r="J407" s="1" t="s">
        <v>22</v>
      </c>
      <c r="K407" s="1">
        <v>-22.369452</v>
      </c>
      <c r="L407" s="1">
        <v>-41.708666</v>
      </c>
      <c r="M407" s="1">
        <v>3.0</v>
      </c>
      <c r="Q407" s="1">
        <f t="shared" si="1"/>
        <v>20229</v>
      </c>
    </row>
    <row r="408" ht="15.75" customHeight="1">
      <c r="A408" s="1" t="s">
        <v>1154</v>
      </c>
      <c r="B408" s="2">
        <v>45767.0</v>
      </c>
      <c r="C408" s="1" t="s">
        <v>1155</v>
      </c>
      <c r="D408" s="1" t="s">
        <v>1152</v>
      </c>
      <c r="E408" s="1" t="s">
        <v>50</v>
      </c>
      <c r="F408" s="1">
        <v>1588.0</v>
      </c>
      <c r="G408" s="1" t="s">
        <v>19</v>
      </c>
      <c r="H408" s="1">
        <v>2724.0</v>
      </c>
      <c r="I408" s="1" t="s">
        <v>21</v>
      </c>
      <c r="J408" s="1" t="s">
        <v>22</v>
      </c>
      <c r="K408" s="1">
        <v>-22.432289</v>
      </c>
      <c r="L408" s="1">
        <v>-41.793504</v>
      </c>
      <c r="M408" s="1">
        <v>1.0</v>
      </c>
      <c r="Q408" s="1">
        <f t="shared" si="1"/>
        <v>0</v>
      </c>
    </row>
    <row r="409" ht="15.75" customHeight="1">
      <c r="A409" s="1" t="s">
        <v>1156</v>
      </c>
      <c r="B409" s="2">
        <v>45667.0</v>
      </c>
      <c r="C409" s="1" t="s">
        <v>1157</v>
      </c>
      <c r="D409" s="1" t="s">
        <v>1152</v>
      </c>
      <c r="E409" s="1" t="s">
        <v>115</v>
      </c>
      <c r="F409" s="1">
        <v>5506.0</v>
      </c>
      <c r="G409" s="1" t="s">
        <v>84</v>
      </c>
      <c r="H409" s="1">
        <v>14941.0</v>
      </c>
      <c r="I409" s="1" t="s">
        <v>21</v>
      </c>
      <c r="J409" s="1" t="s">
        <v>80</v>
      </c>
      <c r="K409" s="1">
        <v>-22.362984</v>
      </c>
      <c r="L409" s="1">
        <v>-41.738254</v>
      </c>
      <c r="M409" s="1">
        <v>0.0</v>
      </c>
      <c r="Q409" s="1">
        <f t="shared" si="1"/>
        <v>0</v>
      </c>
    </row>
    <row r="410" ht="15.75" customHeight="1">
      <c r="A410" s="1" t="s">
        <v>1158</v>
      </c>
      <c r="B410" s="2">
        <v>45782.0</v>
      </c>
      <c r="C410" s="1" t="s">
        <v>252</v>
      </c>
      <c r="D410" s="1" t="s">
        <v>1159</v>
      </c>
      <c r="E410" s="1" t="s">
        <v>163</v>
      </c>
      <c r="F410" s="1">
        <v>2059.0</v>
      </c>
      <c r="G410" s="1" t="s">
        <v>1160</v>
      </c>
      <c r="H410" s="1">
        <v>8869.0</v>
      </c>
      <c r="I410" s="1" t="s">
        <v>21</v>
      </c>
      <c r="J410" s="1" t="s">
        <v>28</v>
      </c>
      <c r="K410" s="1">
        <v>-22.430048</v>
      </c>
      <c r="L410" s="1">
        <v>-41.725394</v>
      </c>
      <c r="M410" s="1">
        <v>0.0</v>
      </c>
      <c r="Q410" s="1">
        <f t="shared" si="1"/>
        <v>0</v>
      </c>
    </row>
    <row r="411" ht="15.75" customHeight="1">
      <c r="A411" s="1" t="s">
        <v>1161</v>
      </c>
      <c r="B411" s="2">
        <v>45661.0</v>
      </c>
      <c r="C411" s="1" t="s">
        <v>548</v>
      </c>
      <c r="D411" s="1" t="s">
        <v>1159</v>
      </c>
      <c r="E411" s="1" t="s">
        <v>84</v>
      </c>
      <c r="F411" s="1">
        <v>9435.0</v>
      </c>
      <c r="G411" s="1" t="s">
        <v>291</v>
      </c>
      <c r="H411" s="1">
        <v>9629.0</v>
      </c>
      <c r="I411" s="1" t="s">
        <v>21</v>
      </c>
      <c r="J411" s="1" t="s">
        <v>34</v>
      </c>
      <c r="K411" s="1">
        <v>-22.428978</v>
      </c>
      <c r="L411" s="1">
        <v>-41.728302</v>
      </c>
      <c r="M411" s="1">
        <v>3.0</v>
      </c>
      <c r="Q411" s="1">
        <f t="shared" si="1"/>
        <v>0</v>
      </c>
    </row>
    <row r="412" ht="15.75" customHeight="1">
      <c r="A412" s="1" t="s">
        <v>1162</v>
      </c>
      <c r="B412" s="2">
        <v>46145.0</v>
      </c>
      <c r="C412" s="1" t="s">
        <v>1163</v>
      </c>
      <c r="D412" s="1" t="s">
        <v>1164</v>
      </c>
      <c r="E412" s="1" t="s">
        <v>177</v>
      </c>
      <c r="F412" s="1">
        <v>3271.0</v>
      </c>
      <c r="G412" s="1" t="s">
        <v>1165</v>
      </c>
      <c r="H412" s="1">
        <v>5783.0</v>
      </c>
      <c r="I412" s="1" t="s">
        <v>21</v>
      </c>
      <c r="J412" s="1" t="s">
        <v>205</v>
      </c>
      <c r="K412" s="1">
        <v>-22.389454</v>
      </c>
      <c r="L412" s="1">
        <v>-41.781394</v>
      </c>
      <c r="M412" s="1">
        <v>1.0</v>
      </c>
      <c r="Q412" s="1">
        <f t="shared" si="1"/>
        <v>0</v>
      </c>
    </row>
    <row r="413" ht="15.75" customHeight="1">
      <c r="A413" s="1" t="s">
        <v>1166</v>
      </c>
      <c r="B413" s="2">
        <v>45664.0</v>
      </c>
      <c r="C413" s="1" t="s">
        <v>1167</v>
      </c>
      <c r="D413" s="1" t="s">
        <v>1168</v>
      </c>
      <c r="E413" s="1" t="s">
        <v>185</v>
      </c>
      <c r="F413" s="1">
        <v>3162.0</v>
      </c>
      <c r="G413" s="1" t="s">
        <v>1169</v>
      </c>
      <c r="H413" s="1">
        <v>15006.0</v>
      </c>
      <c r="I413" s="1" t="s">
        <v>21</v>
      </c>
      <c r="J413" s="1" t="s">
        <v>28</v>
      </c>
      <c r="K413" s="1">
        <v>-22.352581</v>
      </c>
      <c r="L413" s="1">
        <v>-41.773674</v>
      </c>
      <c r="M413" s="1">
        <v>0.0</v>
      </c>
      <c r="Q413" s="1">
        <f t="shared" si="1"/>
        <v>0</v>
      </c>
    </row>
    <row r="414" ht="15.75" customHeight="1">
      <c r="A414" s="1" t="s">
        <v>1170</v>
      </c>
      <c r="B414" s="2">
        <v>45849.0</v>
      </c>
      <c r="C414" s="1" t="s">
        <v>701</v>
      </c>
      <c r="D414" s="1" t="s">
        <v>1168</v>
      </c>
      <c r="E414" s="1" t="s">
        <v>356</v>
      </c>
      <c r="F414" s="1">
        <v>0.0</v>
      </c>
      <c r="G414" s="1" t="s">
        <v>1171</v>
      </c>
      <c r="H414" s="1">
        <v>12851.0</v>
      </c>
      <c r="I414" s="1" t="s">
        <v>21</v>
      </c>
      <c r="J414" s="1" t="s">
        <v>34</v>
      </c>
      <c r="K414" s="1">
        <v>-22.433758</v>
      </c>
      <c r="L414" s="1">
        <v>-41.73647</v>
      </c>
      <c r="M414" s="1">
        <v>2.0</v>
      </c>
      <c r="Q414" s="1">
        <f t="shared" si="1"/>
        <v>0</v>
      </c>
    </row>
    <row r="415" ht="15.75" customHeight="1">
      <c r="A415" s="1" t="s">
        <v>1172</v>
      </c>
      <c r="B415" s="2">
        <v>45881.0</v>
      </c>
      <c r="C415" s="1" t="s">
        <v>1173</v>
      </c>
      <c r="D415" s="1" t="s">
        <v>1168</v>
      </c>
      <c r="E415" s="1" t="s">
        <v>59</v>
      </c>
      <c r="F415" s="1">
        <v>1790.0</v>
      </c>
      <c r="G415" s="1" t="s">
        <v>1174</v>
      </c>
      <c r="H415" s="1">
        <v>7218.0</v>
      </c>
      <c r="I415" s="1" t="s">
        <v>198</v>
      </c>
      <c r="J415" s="1" t="s">
        <v>86</v>
      </c>
      <c r="K415" s="1">
        <v>-22.367553</v>
      </c>
      <c r="L415" s="1">
        <v>-41.726456</v>
      </c>
      <c r="M415" s="1">
        <v>3.0</v>
      </c>
      <c r="Q415" s="1">
        <f t="shared" si="1"/>
        <v>7218</v>
      </c>
    </row>
    <row r="416" ht="15.75" customHeight="1">
      <c r="A416" s="1" t="s">
        <v>1175</v>
      </c>
      <c r="B416" s="2">
        <v>45946.0</v>
      </c>
      <c r="C416" s="1" t="s">
        <v>772</v>
      </c>
      <c r="D416" s="1" t="s">
        <v>1176</v>
      </c>
      <c r="E416" s="1" t="s">
        <v>305</v>
      </c>
      <c r="F416" s="1">
        <v>2059.0</v>
      </c>
      <c r="G416" s="1" t="s">
        <v>409</v>
      </c>
      <c r="H416" s="1">
        <v>3195.0</v>
      </c>
      <c r="I416" s="1" t="s">
        <v>198</v>
      </c>
      <c r="J416" s="1" t="s">
        <v>22</v>
      </c>
      <c r="K416" s="1">
        <v>-22.443838</v>
      </c>
      <c r="L416" s="1">
        <v>-41.750608</v>
      </c>
      <c r="M416" s="1">
        <v>1.0</v>
      </c>
      <c r="Q416" s="1">
        <f t="shared" si="1"/>
        <v>3195</v>
      </c>
    </row>
    <row r="417" ht="15.75" customHeight="1">
      <c r="A417" s="1" t="s">
        <v>1177</v>
      </c>
      <c r="B417" s="2">
        <v>45748.0</v>
      </c>
      <c r="C417" s="1" t="s">
        <v>381</v>
      </c>
      <c r="D417" s="1" t="s">
        <v>1176</v>
      </c>
      <c r="E417" s="1" t="s">
        <v>90</v>
      </c>
      <c r="F417" s="1">
        <v>9435.0</v>
      </c>
      <c r="G417" s="1" t="s">
        <v>1178</v>
      </c>
      <c r="H417" s="1">
        <v>12962.0</v>
      </c>
      <c r="I417" s="1" t="s">
        <v>21</v>
      </c>
      <c r="J417" s="1" t="s">
        <v>80</v>
      </c>
      <c r="K417" s="1">
        <v>-22.380192</v>
      </c>
      <c r="L417" s="1">
        <v>-41.739449</v>
      </c>
      <c r="M417" s="1">
        <v>2.0</v>
      </c>
      <c r="Q417" s="1">
        <f t="shared" si="1"/>
        <v>0</v>
      </c>
    </row>
    <row r="418" ht="15.75" customHeight="1">
      <c r="A418" s="1" t="s">
        <v>1179</v>
      </c>
      <c r="B418" s="2">
        <v>46149.0</v>
      </c>
      <c r="C418" s="1" t="s">
        <v>119</v>
      </c>
      <c r="D418" s="1" t="s">
        <v>1180</v>
      </c>
      <c r="E418" s="1" t="s">
        <v>121</v>
      </c>
      <c r="F418" s="1">
        <v>7364.0</v>
      </c>
      <c r="G418" s="1" t="s">
        <v>1181</v>
      </c>
      <c r="H418" s="1">
        <v>12220.0</v>
      </c>
      <c r="I418" s="1" t="s">
        <v>198</v>
      </c>
      <c r="J418" s="1" t="s">
        <v>205</v>
      </c>
      <c r="K418" s="1">
        <v>-22.419975</v>
      </c>
      <c r="L418" s="1">
        <v>-41.751091</v>
      </c>
      <c r="M418" s="1">
        <v>2.0</v>
      </c>
      <c r="Q418" s="1">
        <f t="shared" si="1"/>
        <v>12220</v>
      </c>
    </row>
    <row r="419" ht="15.75" customHeight="1">
      <c r="A419" s="1" t="s">
        <v>1182</v>
      </c>
      <c r="B419" s="2">
        <v>45701.0</v>
      </c>
      <c r="C419" s="1" t="s">
        <v>716</v>
      </c>
      <c r="D419" s="1" t="s">
        <v>1180</v>
      </c>
      <c r="E419" s="1" t="s">
        <v>356</v>
      </c>
      <c r="F419" s="1">
        <v>0.0</v>
      </c>
      <c r="G419" s="1" t="s">
        <v>1183</v>
      </c>
      <c r="H419" s="1">
        <v>6151.0</v>
      </c>
      <c r="I419" s="1" t="s">
        <v>21</v>
      </c>
      <c r="J419" s="1" t="s">
        <v>51</v>
      </c>
      <c r="K419" s="1">
        <v>-22.403506</v>
      </c>
      <c r="L419" s="1">
        <v>-41.753836</v>
      </c>
      <c r="M419" s="1">
        <v>2.0</v>
      </c>
      <c r="Q419" s="1">
        <f t="shared" si="1"/>
        <v>0</v>
      </c>
    </row>
    <row r="420" ht="15.75" customHeight="1">
      <c r="A420" s="1" t="s">
        <v>1184</v>
      </c>
      <c r="B420" s="2">
        <v>45803.0</v>
      </c>
      <c r="C420" s="1" t="s">
        <v>503</v>
      </c>
      <c r="D420" s="1" t="s">
        <v>1180</v>
      </c>
      <c r="E420" s="1" t="s">
        <v>504</v>
      </c>
      <c r="F420" s="1">
        <v>1136.0</v>
      </c>
      <c r="G420" s="1" t="s">
        <v>1185</v>
      </c>
      <c r="H420" s="1">
        <v>5119.0</v>
      </c>
      <c r="I420" s="1" t="s">
        <v>21</v>
      </c>
      <c r="J420" s="1" t="s">
        <v>51</v>
      </c>
      <c r="K420" s="1">
        <v>-22.355037</v>
      </c>
      <c r="L420" s="1">
        <v>-41.712664</v>
      </c>
      <c r="M420" s="1">
        <v>3.0</v>
      </c>
      <c r="Q420" s="1">
        <f t="shared" si="1"/>
        <v>0</v>
      </c>
    </row>
    <row r="421" ht="15.75" customHeight="1">
      <c r="A421" s="1" t="s">
        <v>1186</v>
      </c>
      <c r="B421" s="2">
        <v>46032.0</v>
      </c>
      <c r="C421" s="1" t="s">
        <v>1187</v>
      </c>
      <c r="D421" s="1" t="s">
        <v>1188</v>
      </c>
      <c r="E421" s="1" t="s">
        <v>49</v>
      </c>
      <c r="F421" s="1">
        <v>8020.0</v>
      </c>
      <c r="G421" s="1" t="s">
        <v>1189</v>
      </c>
      <c r="H421" s="1">
        <v>12591.0</v>
      </c>
      <c r="I421" s="1" t="s">
        <v>198</v>
      </c>
      <c r="J421" s="1" t="s">
        <v>51</v>
      </c>
      <c r="K421" s="1">
        <v>-22.370862</v>
      </c>
      <c r="L421" s="1">
        <v>-41.733823</v>
      </c>
      <c r="M421" s="1">
        <v>0.0</v>
      </c>
      <c r="Q421" s="1">
        <f t="shared" si="1"/>
        <v>12591</v>
      </c>
    </row>
    <row r="422" ht="15.75" customHeight="1">
      <c r="A422" s="1" t="s">
        <v>1190</v>
      </c>
      <c r="B422" s="2">
        <v>45880.0</v>
      </c>
      <c r="C422" s="1" t="s">
        <v>703</v>
      </c>
      <c r="D422" s="1" t="s">
        <v>1191</v>
      </c>
      <c r="E422" s="1" t="s">
        <v>60</v>
      </c>
      <c r="F422" s="1">
        <v>2456.0</v>
      </c>
      <c r="G422" s="1" t="s">
        <v>95</v>
      </c>
      <c r="H422" s="1">
        <v>4044.0</v>
      </c>
      <c r="I422" s="1" t="s">
        <v>21</v>
      </c>
      <c r="J422" s="1" t="s">
        <v>40</v>
      </c>
      <c r="K422" s="1">
        <v>-22.410871</v>
      </c>
      <c r="L422" s="1">
        <v>-41.78501</v>
      </c>
      <c r="M422" s="1">
        <v>0.0</v>
      </c>
      <c r="Q422" s="1">
        <f t="shared" si="1"/>
        <v>0</v>
      </c>
    </row>
    <row r="423" ht="15.75" customHeight="1">
      <c r="A423" s="1" t="s">
        <v>1192</v>
      </c>
      <c r="B423" s="2">
        <v>46059.0</v>
      </c>
      <c r="C423" s="1" t="s">
        <v>918</v>
      </c>
      <c r="D423" s="1" t="s">
        <v>1193</v>
      </c>
      <c r="E423" s="1" t="s">
        <v>65</v>
      </c>
      <c r="F423" s="1">
        <v>3840.0</v>
      </c>
      <c r="G423" s="1" t="s">
        <v>19</v>
      </c>
      <c r="H423" s="1">
        <v>4976.0</v>
      </c>
      <c r="I423" s="1" t="s">
        <v>198</v>
      </c>
      <c r="J423" s="1" t="s">
        <v>86</v>
      </c>
      <c r="K423" s="1">
        <v>-22.367022</v>
      </c>
      <c r="L423" s="1">
        <v>-41.714619</v>
      </c>
      <c r="M423" s="1">
        <v>1.0</v>
      </c>
      <c r="Q423" s="1">
        <f t="shared" si="1"/>
        <v>4976</v>
      </c>
    </row>
    <row r="424" ht="15.75" customHeight="1">
      <c r="A424" s="1" t="s">
        <v>1194</v>
      </c>
      <c r="B424" s="2">
        <v>46169.0</v>
      </c>
      <c r="C424" s="1" t="s">
        <v>369</v>
      </c>
      <c r="D424" s="1" t="s">
        <v>1193</v>
      </c>
      <c r="E424" s="1" t="s">
        <v>197</v>
      </c>
      <c r="F424" s="1">
        <v>195.0</v>
      </c>
      <c r="G424" s="1" t="s">
        <v>436</v>
      </c>
      <c r="H424" s="1">
        <v>3170.0</v>
      </c>
      <c r="I424" s="1" t="s">
        <v>198</v>
      </c>
      <c r="J424" s="1" t="s">
        <v>51</v>
      </c>
      <c r="K424" s="1">
        <v>-22.355267</v>
      </c>
      <c r="L424" s="1">
        <v>-41.784018</v>
      </c>
      <c r="M424" s="1">
        <v>3.0</v>
      </c>
      <c r="Q424" s="1">
        <f t="shared" si="1"/>
        <v>3170</v>
      </c>
    </row>
    <row r="425" ht="15.75" customHeight="1">
      <c r="A425" s="1" t="s">
        <v>1195</v>
      </c>
      <c r="B425" s="2">
        <v>45726.0</v>
      </c>
      <c r="C425" s="1" t="s">
        <v>900</v>
      </c>
      <c r="D425" s="1" t="s">
        <v>1196</v>
      </c>
      <c r="E425" s="1" t="s">
        <v>409</v>
      </c>
      <c r="F425" s="1">
        <v>1136.0</v>
      </c>
      <c r="G425" s="1" t="s">
        <v>64</v>
      </c>
      <c r="H425" s="1">
        <v>2272.0</v>
      </c>
      <c r="I425" s="1" t="s">
        <v>21</v>
      </c>
      <c r="J425" s="1" t="s">
        <v>205</v>
      </c>
      <c r="K425" s="1">
        <v>-22.389218</v>
      </c>
      <c r="L425" s="1">
        <v>-41.785852</v>
      </c>
      <c r="M425" s="1">
        <v>2.0</v>
      </c>
      <c r="Q425" s="1">
        <f t="shared" si="1"/>
        <v>0</v>
      </c>
    </row>
    <row r="426" ht="15.75" customHeight="1">
      <c r="A426" s="1" t="s">
        <v>1197</v>
      </c>
      <c r="B426" s="2">
        <v>45671.0</v>
      </c>
      <c r="C426" s="1" t="s">
        <v>772</v>
      </c>
      <c r="D426" s="1" t="s">
        <v>1198</v>
      </c>
      <c r="E426" s="1" t="s">
        <v>305</v>
      </c>
      <c r="F426" s="1">
        <v>2059.0</v>
      </c>
      <c r="G426" s="1" t="s">
        <v>1199</v>
      </c>
      <c r="H426" s="1">
        <v>9153.0</v>
      </c>
      <c r="I426" s="1" t="s">
        <v>198</v>
      </c>
      <c r="J426" s="1" t="s">
        <v>28</v>
      </c>
      <c r="K426" s="1">
        <v>-22.416142</v>
      </c>
      <c r="L426" s="1">
        <v>-41.768939</v>
      </c>
      <c r="M426" s="1">
        <v>2.0</v>
      </c>
      <c r="Q426" s="1">
        <f t="shared" si="1"/>
        <v>9153</v>
      </c>
    </row>
    <row r="427" ht="15.75" customHeight="1">
      <c r="A427" s="1" t="s">
        <v>1200</v>
      </c>
      <c r="B427" s="2">
        <v>45946.0</v>
      </c>
      <c r="C427" s="1" t="s">
        <v>1061</v>
      </c>
      <c r="D427" s="1" t="s">
        <v>1201</v>
      </c>
      <c r="E427" s="1" t="s">
        <v>70</v>
      </c>
      <c r="F427" s="1">
        <v>3840.0</v>
      </c>
      <c r="G427" s="1" t="s">
        <v>1202</v>
      </c>
      <c r="H427" s="1">
        <v>9327.0</v>
      </c>
      <c r="I427" s="1" t="s">
        <v>21</v>
      </c>
      <c r="J427" s="1" t="s">
        <v>80</v>
      </c>
      <c r="K427" s="1">
        <v>-22.369288</v>
      </c>
      <c r="L427" s="1">
        <v>-41.71359</v>
      </c>
      <c r="M427" s="1">
        <v>2.0</v>
      </c>
      <c r="Q427" s="1">
        <f t="shared" si="1"/>
        <v>0</v>
      </c>
    </row>
    <row r="428" ht="15.75" customHeight="1">
      <c r="A428" s="1" t="s">
        <v>1203</v>
      </c>
      <c r="B428" s="2">
        <v>46036.0</v>
      </c>
      <c r="C428" s="1" t="s">
        <v>1204</v>
      </c>
      <c r="D428" s="1" t="s">
        <v>1201</v>
      </c>
      <c r="E428" s="1" t="s">
        <v>136</v>
      </c>
      <c r="F428" s="1">
        <v>1588.0</v>
      </c>
      <c r="G428" s="1" t="s">
        <v>1205</v>
      </c>
      <c r="H428" s="1">
        <v>10283.0</v>
      </c>
      <c r="I428" s="1" t="s">
        <v>198</v>
      </c>
      <c r="J428" s="1" t="s">
        <v>34</v>
      </c>
      <c r="K428" s="1">
        <v>-22.429054</v>
      </c>
      <c r="L428" s="1">
        <v>-41.76738</v>
      </c>
      <c r="M428" s="1">
        <v>3.0</v>
      </c>
      <c r="Q428" s="1">
        <f t="shared" si="1"/>
        <v>10283</v>
      </c>
    </row>
    <row r="429" ht="15.75" customHeight="1">
      <c r="A429" s="1" t="s">
        <v>1206</v>
      </c>
      <c r="B429" s="2">
        <v>46006.0</v>
      </c>
      <c r="C429" s="1" t="s">
        <v>402</v>
      </c>
      <c r="D429" s="1" t="s">
        <v>1207</v>
      </c>
      <c r="E429" s="1" t="s">
        <v>290</v>
      </c>
      <c r="F429" s="1">
        <v>1588.0</v>
      </c>
      <c r="G429" s="1" t="s">
        <v>1208</v>
      </c>
      <c r="H429" s="1">
        <v>4295.0</v>
      </c>
      <c r="I429" s="1" t="s">
        <v>198</v>
      </c>
      <c r="J429" s="1" t="s">
        <v>80</v>
      </c>
      <c r="K429" s="1">
        <v>-22.380167</v>
      </c>
      <c r="L429" s="1">
        <v>-41.709814</v>
      </c>
      <c r="M429" s="1">
        <v>4.0</v>
      </c>
      <c r="Q429" s="1">
        <f t="shared" si="1"/>
        <v>4295</v>
      </c>
    </row>
    <row r="430" ht="15.75" customHeight="1">
      <c r="A430" s="1" t="s">
        <v>1209</v>
      </c>
      <c r="B430" s="2">
        <v>45913.0</v>
      </c>
      <c r="C430" s="1" t="s">
        <v>834</v>
      </c>
      <c r="D430" s="1" t="s">
        <v>1210</v>
      </c>
      <c r="E430" s="1" t="s">
        <v>49</v>
      </c>
      <c r="F430" s="1">
        <v>8020.0</v>
      </c>
      <c r="G430" s="1" t="s">
        <v>1211</v>
      </c>
      <c r="H430" s="1">
        <v>12986.0</v>
      </c>
      <c r="I430" s="1" t="s">
        <v>21</v>
      </c>
      <c r="J430" s="1" t="s">
        <v>205</v>
      </c>
      <c r="K430" s="1">
        <v>-22.360944</v>
      </c>
      <c r="L430" s="1">
        <v>-41.768654</v>
      </c>
      <c r="M430" s="1">
        <v>3.0</v>
      </c>
      <c r="Q430" s="1">
        <f t="shared" si="1"/>
        <v>0</v>
      </c>
    </row>
    <row r="431" ht="15.75" customHeight="1">
      <c r="A431" s="1" t="s">
        <v>1212</v>
      </c>
      <c r="B431" s="2">
        <v>45741.0</v>
      </c>
      <c r="C431" s="1" t="s">
        <v>961</v>
      </c>
      <c r="D431" s="1" t="s">
        <v>1213</v>
      </c>
      <c r="E431" s="1" t="s">
        <v>291</v>
      </c>
      <c r="F431" s="1">
        <v>194.0</v>
      </c>
      <c r="G431" s="1" t="s">
        <v>1214</v>
      </c>
      <c r="H431" s="1">
        <v>7994.0</v>
      </c>
      <c r="I431" s="1" t="s">
        <v>198</v>
      </c>
      <c r="J431" s="1" t="s">
        <v>205</v>
      </c>
      <c r="K431" s="1">
        <v>-22.403731</v>
      </c>
      <c r="L431" s="1">
        <v>-41.709957</v>
      </c>
      <c r="M431" s="1">
        <v>4.0</v>
      </c>
      <c r="Q431" s="1">
        <f t="shared" si="1"/>
        <v>7994</v>
      </c>
    </row>
    <row r="432" ht="15.75" customHeight="1">
      <c r="A432" s="1" t="s">
        <v>1215</v>
      </c>
      <c r="B432" s="2">
        <v>45855.0</v>
      </c>
      <c r="C432" s="1" t="s">
        <v>369</v>
      </c>
      <c r="D432" s="1" t="s">
        <v>1213</v>
      </c>
      <c r="E432" s="1" t="s">
        <v>197</v>
      </c>
      <c r="F432" s="1">
        <v>195.0</v>
      </c>
      <c r="G432" s="1" t="s">
        <v>315</v>
      </c>
      <c r="H432" s="1">
        <v>1016.0</v>
      </c>
      <c r="I432" s="1" t="s">
        <v>198</v>
      </c>
      <c r="J432" s="1" t="s">
        <v>28</v>
      </c>
      <c r="K432" s="1">
        <v>-22.413622</v>
      </c>
      <c r="L432" s="1">
        <v>-41.722224</v>
      </c>
      <c r="M432" s="1">
        <v>2.0</v>
      </c>
      <c r="Q432" s="1">
        <f t="shared" si="1"/>
        <v>1016</v>
      </c>
    </row>
    <row r="433" ht="15.75" customHeight="1">
      <c r="A433" s="1" t="s">
        <v>1216</v>
      </c>
      <c r="B433" s="2">
        <v>45993.0</v>
      </c>
      <c r="C433" s="1" t="s">
        <v>282</v>
      </c>
      <c r="D433" s="1" t="s">
        <v>1217</v>
      </c>
      <c r="E433" s="1" t="s">
        <v>45</v>
      </c>
      <c r="F433" s="1">
        <v>3162.0</v>
      </c>
      <c r="G433" s="1" t="s">
        <v>290</v>
      </c>
      <c r="H433" s="1">
        <v>4750.0</v>
      </c>
      <c r="I433" s="1" t="s">
        <v>21</v>
      </c>
      <c r="J433" s="1" t="s">
        <v>205</v>
      </c>
      <c r="K433" s="1">
        <v>-22.393812</v>
      </c>
      <c r="L433" s="1">
        <v>-41.721632</v>
      </c>
      <c r="M433" s="1">
        <v>2.0</v>
      </c>
      <c r="Q433" s="1">
        <f t="shared" si="1"/>
        <v>0</v>
      </c>
    </row>
    <row r="434" ht="15.75" customHeight="1">
      <c r="A434" s="1" t="s">
        <v>1218</v>
      </c>
      <c r="B434" s="2">
        <v>45850.0</v>
      </c>
      <c r="C434" s="1" t="s">
        <v>834</v>
      </c>
      <c r="D434" s="1" t="s">
        <v>1217</v>
      </c>
      <c r="E434" s="1" t="s">
        <v>49</v>
      </c>
      <c r="F434" s="1">
        <v>8020.0</v>
      </c>
      <c r="G434" s="1" t="s">
        <v>1219</v>
      </c>
      <c r="H434" s="1">
        <v>15700.0</v>
      </c>
      <c r="I434" s="1" t="s">
        <v>21</v>
      </c>
      <c r="J434" s="1" t="s">
        <v>22</v>
      </c>
      <c r="K434" s="1">
        <v>-22.420438</v>
      </c>
      <c r="L434" s="1">
        <v>-41.793944</v>
      </c>
      <c r="M434" s="1">
        <v>4.0</v>
      </c>
      <c r="Q434" s="1">
        <f t="shared" si="1"/>
        <v>0</v>
      </c>
    </row>
    <row r="435" ht="15.75" customHeight="1">
      <c r="A435" s="1" t="s">
        <v>1220</v>
      </c>
      <c r="B435" s="2">
        <v>46091.0</v>
      </c>
      <c r="C435" s="1" t="s">
        <v>1221</v>
      </c>
      <c r="D435" s="1" t="s">
        <v>1222</v>
      </c>
      <c r="E435" s="1" t="s">
        <v>436</v>
      </c>
      <c r="F435" s="1">
        <v>2975.0</v>
      </c>
      <c r="G435" s="1" t="s">
        <v>1223</v>
      </c>
      <c r="H435" s="1">
        <v>20700.0</v>
      </c>
      <c r="I435" s="1" t="s">
        <v>198</v>
      </c>
      <c r="J435" s="1" t="s">
        <v>86</v>
      </c>
      <c r="K435" s="1">
        <v>-22.423901</v>
      </c>
      <c r="L435" s="1">
        <v>-41.785594</v>
      </c>
      <c r="M435" s="1">
        <v>0.0</v>
      </c>
      <c r="Q435" s="1">
        <f t="shared" si="1"/>
        <v>20700</v>
      </c>
    </row>
    <row r="436" ht="15.75" customHeight="1">
      <c r="A436" s="1" t="s">
        <v>1224</v>
      </c>
      <c r="B436" s="2">
        <v>45738.0</v>
      </c>
      <c r="C436" s="1" t="s">
        <v>1225</v>
      </c>
      <c r="D436" s="1" t="s">
        <v>1222</v>
      </c>
      <c r="E436" s="1" t="s">
        <v>19</v>
      </c>
      <c r="F436" s="1">
        <v>1136.0</v>
      </c>
      <c r="G436" s="1" t="s">
        <v>409</v>
      </c>
      <c r="H436" s="1">
        <v>2272.0</v>
      </c>
      <c r="I436" s="1" t="s">
        <v>198</v>
      </c>
      <c r="J436" s="1" t="s">
        <v>205</v>
      </c>
      <c r="K436" s="1">
        <v>-22.37242</v>
      </c>
      <c r="L436" s="1">
        <v>-41.700702</v>
      </c>
      <c r="M436" s="1">
        <v>2.0</v>
      </c>
      <c r="Q436" s="1">
        <f t="shared" si="1"/>
        <v>2272</v>
      </c>
    </row>
    <row r="437" ht="15.75" customHeight="1">
      <c r="A437" s="1" t="s">
        <v>1226</v>
      </c>
      <c r="B437" s="2">
        <v>45979.0</v>
      </c>
      <c r="C437" s="1" t="s">
        <v>1227</v>
      </c>
      <c r="D437" s="1" t="s">
        <v>1222</v>
      </c>
      <c r="E437" s="1" t="s">
        <v>392</v>
      </c>
      <c r="F437" s="1">
        <v>2512.0</v>
      </c>
      <c r="G437" s="1" t="s">
        <v>1228</v>
      </c>
      <c r="H437" s="1">
        <v>16114.0</v>
      </c>
      <c r="I437" s="1" t="s">
        <v>198</v>
      </c>
      <c r="J437" s="1" t="s">
        <v>86</v>
      </c>
      <c r="K437" s="1">
        <v>-22.404406</v>
      </c>
      <c r="L437" s="1">
        <v>-41.780222</v>
      </c>
      <c r="M437" s="1">
        <v>0.0</v>
      </c>
      <c r="Q437" s="1">
        <f t="shared" si="1"/>
        <v>16114</v>
      </c>
    </row>
    <row r="438" ht="15.75" customHeight="1">
      <c r="A438" s="1" t="s">
        <v>1229</v>
      </c>
      <c r="B438" s="2">
        <v>45988.0</v>
      </c>
      <c r="C438" s="1" t="s">
        <v>462</v>
      </c>
      <c r="D438" s="1" t="s">
        <v>1230</v>
      </c>
      <c r="E438" s="1" t="s">
        <v>95</v>
      </c>
      <c r="F438" s="1">
        <v>1588.0</v>
      </c>
      <c r="G438" s="1" t="s">
        <v>1231</v>
      </c>
      <c r="H438" s="1">
        <v>9575.0</v>
      </c>
      <c r="I438" s="1" t="s">
        <v>21</v>
      </c>
      <c r="J438" s="1" t="s">
        <v>22</v>
      </c>
      <c r="K438" s="1">
        <v>-22.444758</v>
      </c>
      <c r="L438" s="1">
        <v>-41.767346</v>
      </c>
      <c r="M438" s="1">
        <v>0.0</v>
      </c>
      <c r="Q438" s="1">
        <f t="shared" si="1"/>
        <v>0</v>
      </c>
    </row>
    <row r="439" ht="15.75" customHeight="1">
      <c r="A439" s="1" t="s">
        <v>1232</v>
      </c>
      <c r="B439" s="2">
        <v>45684.0</v>
      </c>
      <c r="C439" s="1" t="s">
        <v>282</v>
      </c>
      <c r="D439" s="1" t="s">
        <v>1233</v>
      </c>
      <c r="E439" s="1" t="s">
        <v>45</v>
      </c>
      <c r="F439" s="1">
        <v>3162.0</v>
      </c>
      <c r="G439" s="1" t="s">
        <v>1234</v>
      </c>
      <c r="H439" s="1">
        <v>13241.0</v>
      </c>
      <c r="I439" s="1" t="s">
        <v>198</v>
      </c>
      <c r="J439" s="1" t="s">
        <v>80</v>
      </c>
      <c r="K439" s="1">
        <v>-22.410446</v>
      </c>
      <c r="L439" s="1">
        <v>-41.767339</v>
      </c>
      <c r="M439" s="1">
        <v>3.0</v>
      </c>
      <c r="Q439" s="1">
        <f t="shared" si="1"/>
        <v>13241</v>
      </c>
    </row>
    <row r="440" ht="15.75" customHeight="1">
      <c r="A440" s="1" t="s">
        <v>1235</v>
      </c>
      <c r="B440" s="2">
        <v>45715.0</v>
      </c>
      <c r="C440" s="1" t="s">
        <v>1236</v>
      </c>
      <c r="D440" s="1" t="s">
        <v>1237</v>
      </c>
      <c r="E440" s="1" t="s">
        <v>297</v>
      </c>
      <c r="F440" s="1">
        <v>1136.0</v>
      </c>
      <c r="G440" s="1" t="s">
        <v>1238</v>
      </c>
      <c r="H440" s="1">
        <v>20023.0</v>
      </c>
      <c r="I440" s="1" t="s">
        <v>21</v>
      </c>
      <c r="J440" s="1" t="s">
        <v>205</v>
      </c>
      <c r="K440" s="1">
        <v>-22.443612</v>
      </c>
      <c r="L440" s="1">
        <v>-41.793211</v>
      </c>
      <c r="M440" s="1">
        <v>1.0</v>
      </c>
      <c r="Q440" s="1">
        <f t="shared" si="1"/>
        <v>0</v>
      </c>
    </row>
    <row r="441" ht="15.75" customHeight="1">
      <c r="A441" s="1" t="s">
        <v>1239</v>
      </c>
      <c r="B441" s="2">
        <v>45898.0</v>
      </c>
      <c r="C441" s="1" t="s">
        <v>761</v>
      </c>
      <c r="D441" s="1" t="s">
        <v>1240</v>
      </c>
      <c r="E441" s="1" t="s">
        <v>163</v>
      </c>
      <c r="F441" s="1">
        <v>2059.0</v>
      </c>
      <c r="G441" s="1" t="s">
        <v>356</v>
      </c>
      <c r="H441" s="1">
        <v>2059.0</v>
      </c>
      <c r="I441" s="1" t="s">
        <v>21</v>
      </c>
      <c r="J441" s="1" t="s">
        <v>80</v>
      </c>
      <c r="K441" s="1">
        <v>-22.352768</v>
      </c>
      <c r="L441" s="1">
        <v>-41.766184</v>
      </c>
      <c r="M441" s="1">
        <v>0.0</v>
      </c>
      <c r="Q441" s="1">
        <f t="shared" si="1"/>
        <v>0</v>
      </c>
    </row>
    <row r="442" ht="15.75" customHeight="1">
      <c r="A442" s="1" t="s">
        <v>1241</v>
      </c>
      <c r="B442" s="2">
        <v>45721.0</v>
      </c>
      <c r="C442" s="1" t="s">
        <v>407</v>
      </c>
      <c r="D442" s="1" t="s">
        <v>1242</v>
      </c>
      <c r="E442" s="1" t="s">
        <v>210</v>
      </c>
      <c r="F442" s="1">
        <v>1588.0</v>
      </c>
      <c r="G442" s="1" t="s">
        <v>1243</v>
      </c>
      <c r="H442" s="1">
        <v>10540.0</v>
      </c>
      <c r="I442" s="1" t="s">
        <v>198</v>
      </c>
      <c r="J442" s="1" t="s">
        <v>51</v>
      </c>
      <c r="K442" s="1">
        <v>-22.385818</v>
      </c>
      <c r="L442" s="1">
        <v>-41.760401</v>
      </c>
      <c r="M442" s="1">
        <v>4.0</v>
      </c>
      <c r="Q442" s="1">
        <f t="shared" si="1"/>
        <v>10540</v>
      </c>
    </row>
    <row r="443" ht="15.75" customHeight="1">
      <c r="A443" s="1" t="s">
        <v>1244</v>
      </c>
      <c r="B443" s="2">
        <v>45776.0</v>
      </c>
      <c r="C443" s="1" t="s">
        <v>252</v>
      </c>
      <c r="D443" s="1" t="s">
        <v>1245</v>
      </c>
      <c r="E443" s="1" t="s">
        <v>163</v>
      </c>
      <c r="F443" s="1">
        <v>2059.0</v>
      </c>
      <c r="G443" s="1" t="s">
        <v>1246</v>
      </c>
      <c r="H443" s="1">
        <v>13903.0</v>
      </c>
      <c r="I443" s="1" t="s">
        <v>21</v>
      </c>
      <c r="J443" s="1" t="s">
        <v>34</v>
      </c>
      <c r="K443" s="1">
        <v>-22.426073</v>
      </c>
      <c r="L443" s="1">
        <v>-41.735524</v>
      </c>
      <c r="M443" s="1">
        <v>2.0</v>
      </c>
      <c r="Q443" s="1">
        <f t="shared" si="1"/>
        <v>0</v>
      </c>
    </row>
    <row r="444" ht="15.75" customHeight="1">
      <c r="A444" s="1" t="s">
        <v>1247</v>
      </c>
      <c r="B444" s="2">
        <v>46148.0</v>
      </c>
      <c r="C444" s="1" t="s">
        <v>979</v>
      </c>
      <c r="D444" s="1" t="s">
        <v>1248</v>
      </c>
      <c r="E444" s="1" t="s">
        <v>32</v>
      </c>
      <c r="F444" s="1">
        <v>1059.0</v>
      </c>
      <c r="G444" s="1" t="s">
        <v>90</v>
      </c>
      <c r="H444" s="1">
        <v>10494.0</v>
      </c>
      <c r="I444" s="1" t="s">
        <v>21</v>
      </c>
      <c r="J444" s="1" t="s">
        <v>40</v>
      </c>
      <c r="K444" s="1">
        <v>-22.4281</v>
      </c>
      <c r="L444" s="1">
        <v>-41.776733</v>
      </c>
      <c r="M444" s="1">
        <v>0.0</v>
      </c>
      <c r="Q444" s="1">
        <f t="shared" si="1"/>
        <v>0</v>
      </c>
    </row>
    <row r="445" ht="15.75" customHeight="1">
      <c r="A445" s="1" t="s">
        <v>1249</v>
      </c>
      <c r="B445" s="2">
        <v>45988.0</v>
      </c>
      <c r="C445" s="1" t="s">
        <v>161</v>
      </c>
      <c r="D445" s="1" t="s">
        <v>1248</v>
      </c>
      <c r="E445" s="1" t="s">
        <v>163</v>
      </c>
      <c r="F445" s="1">
        <v>2059.0</v>
      </c>
      <c r="G445" s="1" t="s">
        <v>305</v>
      </c>
      <c r="H445" s="1">
        <v>4118.0</v>
      </c>
      <c r="I445" s="1" t="s">
        <v>198</v>
      </c>
      <c r="J445" s="1" t="s">
        <v>51</v>
      </c>
      <c r="K445" s="1">
        <v>-22.448074</v>
      </c>
      <c r="L445" s="1">
        <v>-41.723446</v>
      </c>
      <c r="M445" s="1">
        <v>3.0</v>
      </c>
      <c r="Q445" s="1">
        <f t="shared" si="1"/>
        <v>4118</v>
      </c>
    </row>
    <row r="446" ht="15.75" customHeight="1">
      <c r="A446" s="1" t="s">
        <v>1250</v>
      </c>
      <c r="B446" s="2">
        <v>45699.0</v>
      </c>
      <c r="C446" s="1" t="s">
        <v>1251</v>
      </c>
      <c r="D446" s="1" t="s">
        <v>1252</v>
      </c>
      <c r="E446" s="1" t="s">
        <v>78</v>
      </c>
      <c r="F446" s="1">
        <v>195.0</v>
      </c>
      <c r="G446" s="1" t="s">
        <v>210</v>
      </c>
      <c r="H446" s="1">
        <v>1783.0</v>
      </c>
      <c r="I446" s="1" t="s">
        <v>21</v>
      </c>
      <c r="J446" s="1" t="s">
        <v>40</v>
      </c>
      <c r="K446" s="1">
        <v>-22.429116</v>
      </c>
      <c r="L446" s="1">
        <v>-41.741726</v>
      </c>
      <c r="M446" s="1">
        <v>1.0</v>
      </c>
      <c r="Q446" s="1">
        <f t="shared" si="1"/>
        <v>0</v>
      </c>
    </row>
    <row r="447" ht="15.75" customHeight="1">
      <c r="A447" s="1" t="s">
        <v>1253</v>
      </c>
      <c r="B447" s="2">
        <v>45826.0</v>
      </c>
      <c r="C447" s="1" t="s">
        <v>1254</v>
      </c>
      <c r="D447" s="1" t="s">
        <v>1252</v>
      </c>
      <c r="E447" s="1" t="s">
        <v>104</v>
      </c>
      <c r="F447" s="1">
        <v>1136.0</v>
      </c>
      <c r="G447" s="1" t="s">
        <v>1255</v>
      </c>
      <c r="H447" s="1">
        <v>2918.0</v>
      </c>
      <c r="I447" s="1" t="s">
        <v>198</v>
      </c>
      <c r="J447" s="1" t="s">
        <v>34</v>
      </c>
      <c r="K447" s="1">
        <v>-22.434774</v>
      </c>
      <c r="L447" s="1">
        <v>-41.799265</v>
      </c>
      <c r="M447" s="1">
        <v>3.0</v>
      </c>
      <c r="Q447" s="1">
        <f t="shared" si="1"/>
        <v>2918</v>
      </c>
    </row>
    <row r="448" ht="15.75" customHeight="1">
      <c r="A448" s="1" t="s">
        <v>1256</v>
      </c>
      <c r="B448" s="2">
        <v>46055.0</v>
      </c>
      <c r="C448" s="1" t="s">
        <v>764</v>
      </c>
      <c r="D448" s="1" t="s">
        <v>1257</v>
      </c>
      <c r="E448" s="1" t="s">
        <v>38</v>
      </c>
      <c r="F448" s="1">
        <v>2975.0</v>
      </c>
      <c r="G448" s="1" t="s">
        <v>1258</v>
      </c>
      <c r="H448" s="1">
        <v>10172.0</v>
      </c>
      <c r="I448" s="1" t="s">
        <v>198</v>
      </c>
      <c r="J448" s="1" t="s">
        <v>34</v>
      </c>
      <c r="K448" s="1">
        <v>-22.374583</v>
      </c>
      <c r="L448" s="1">
        <v>-41.774372</v>
      </c>
      <c r="M448" s="1">
        <v>1.0</v>
      </c>
      <c r="Q448" s="1">
        <f t="shared" si="1"/>
        <v>10172</v>
      </c>
    </row>
    <row r="449" ht="15.75" customHeight="1">
      <c r="A449" s="1" t="s">
        <v>1259</v>
      </c>
      <c r="B449" s="2">
        <v>45950.0</v>
      </c>
      <c r="C449" s="1" t="s">
        <v>590</v>
      </c>
      <c r="D449" s="1" t="s">
        <v>1260</v>
      </c>
      <c r="E449" s="1" t="s">
        <v>436</v>
      </c>
      <c r="F449" s="1">
        <v>2975.0</v>
      </c>
      <c r="G449" s="1" t="s">
        <v>1261</v>
      </c>
      <c r="H449" s="1">
        <v>4758.0</v>
      </c>
      <c r="I449" s="1" t="s">
        <v>21</v>
      </c>
      <c r="J449" s="1" t="s">
        <v>40</v>
      </c>
      <c r="K449" s="1">
        <v>-22.405446</v>
      </c>
      <c r="L449" s="1">
        <v>-41.703227</v>
      </c>
      <c r="M449" s="1">
        <v>3.0</v>
      </c>
      <c r="Q449" s="1">
        <f t="shared" si="1"/>
        <v>0</v>
      </c>
    </row>
    <row r="450" ht="15.75" customHeight="1">
      <c r="A450" s="1" t="s">
        <v>1262</v>
      </c>
      <c r="B450" s="2">
        <v>45700.0</v>
      </c>
      <c r="C450" s="1" t="s">
        <v>1263</v>
      </c>
      <c r="D450" s="1" t="s">
        <v>1264</v>
      </c>
      <c r="E450" s="1" t="s">
        <v>409</v>
      </c>
      <c r="F450" s="1">
        <v>1136.0</v>
      </c>
      <c r="G450" s="1" t="s">
        <v>1265</v>
      </c>
      <c r="H450" s="1">
        <v>10234.0</v>
      </c>
      <c r="I450" s="1" t="s">
        <v>21</v>
      </c>
      <c r="J450" s="1" t="s">
        <v>22</v>
      </c>
      <c r="K450" s="1">
        <v>-22.375719</v>
      </c>
      <c r="L450" s="1">
        <v>-41.712577</v>
      </c>
      <c r="M450" s="1">
        <v>3.0</v>
      </c>
      <c r="Q450" s="1">
        <f t="shared" si="1"/>
        <v>0</v>
      </c>
    </row>
    <row r="451" ht="15.75" customHeight="1">
      <c r="A451" s="1" t="s">
        <v>1266</v>
      </c>
      <c r="B451" s="2">
        <v>46027.0</v>
      </c>
      <c r="C451" s="1" t="s">
        <v>1267</v>
      </c>
      <c r="D451" s="1" t="s">
        <v>1268</v>
      </c>
      <c r="E451" s="1" t="s">
        <v>436</v>
      </c>
      <c r="F451" s="1">
        <v>2975.0</v>
      </c>
      <c r="G451" s="1" t="s">
        <v>1269</v>
      </c>
      <c r="H451" s="1">
        <v>14171.0</v>
      </c>
      <c r="I451" s="1" t="s">
        <v>198</v>
      </c>
      <c r="J451" s="1" t="s">
        <v>40</v>
      </c>
      <c r="K451" s="1">
        <v>-22.385217</v>
      </c>
      <c r="L451" s="1">
        <v>-41.777019</v>
      </c>
      <c r="M451" s="1">
        <v>3.0</v>
      </c>
      <c r="Q451" s="1">
        <f t="shared" si="1"/>
        <v>14171</v>
      </c>
    </row>
    <row r="452" ht="15.75" customHeight="1">
      <c r="A452" s="1" t="s">
        <v>1270</v>
      </c>
      <c r="B452" s="2">
        <v>45975.0</v>
      </c>
      <c r="C452" s="1" t="s">
        <v>53</v>
      </c>
      <c r="D452" s="1" t="s">
        <v>1268</v>
      </c>
      <c r="E452" s="1" t="s">
        <v>55</v>
      </c>
      <c r="F452" s="1">
        <v>2409.0</v>
      </c>
      <c r="G452" s="1" t="s">
        <v>305</v>
      </c>
      <c r="H452" s="1">
        <v>4468.0</v>
      </c>
      <c r="I452" s="1" t="s">
        <v>21</v>
      </c>
      <c r="J452" s="1" t="s">
        <v>34</v>
      </c>
      <c r="K452" s="1">
        <v>-22.367041</v>
      </c>
      <c r="L452" s="1">
        <v>-41.713964</v>
      </c>
      <c r="M452" s="1">
        <v>0.0</v>
      </c>
      <c r="Q452" s="1">
        <f t="shared" si="1"/>
        <v>0</v>
      </c>
    </row>
    <row r="453" ht="15.75" customHeight="1">
      <c r="A453" s="1" t="s">
        <v>1271</v>
      </c>
      <c r="B453" s="2">
        <v>46058.0</v>
      </c>
      <c r="C453" s="1" t="s">
        <v>395</v>
      </c>
      <c r="D453" s="1" t="s">
        <v>1272</v>
      </c>
      <c r="E453" s="1" t="s">
        <v>44</v>
      </c>
      <c r="F453" s="1">
        <v>5506.0</v>
      </c>
      <c r="G453" s="1" t="s">
        <v>1273</v>
      </c>
      <c r="H453" s="1">
        <v>10482.0</v>
      </c>
      <c r="I453" s="1" t="s">
        <v>198</v>
      </c>
      <c r="J453" s="1" t="s">
        <v>28</v>
      </c>
      <c r="K453" s="1">
        <v>-22.357918</v>
      </c>
      <c r="L453" s="1">
        <v>-41.751982</v>
      </c>
      <c r="M453" s="1">
        <v>4.0</v>
      </c>
      <c r="Q453" s="1">
        <f t="shared" si="1"/>
        <v>10482</v>
      </c>
    </row>
    <row r="454" ht="15.75" customHeight="1">
      <c r="A454" s="1" t="s">
        <v>1274</v>
      </c>
      <c r="B454" s="2">
        <v>45658.0</v>
      </c>
      <c r="C454" s="1" t="s">
        <v>462</v>
      </c>
      <c r="D454" s="1" t="s">
        <v>1275</v>
      </c>
      <c r="E454" s="1" t="s">
        <v>95</v>
      </c>
      <c r="F454" s="1">
        <v>1588.0</v>
      </c>
      <c r="G454" s="1" t="s">
        <v>1276</v>
      </c>
      <c r="H454" s="1">
        <v>9773.0</v>
      </c>
      <c r="I454" s="1" t="s">
        <v>21</v>
      </c>
      <c r="J454" s="1" t="s">
        <v>40</v>
      </c>
      <c r="K454" s="1">
        <v>-22.364283</v>
      </c>
      <c r="L454" s="1">
        <v>-41.705321</v>
      </c>
      <c r="M454" s="1">
        <v>0.0</v>
      </c>
      <c r="Q454" s="1">
        <f t="shared" si="1"/>
        <v>0</v>
      </c>
    </row>
    <row r="455" ht="15.75" customHeight="1">
      <c r="A455" s="1" t="s">
        <v>1277</v>
      </c>
      <c r="B455" s="2">
        <v>45757.0</v>
      </c>
      <c r="C455" s="1" t="s">
        <v>1278</v>
      </c>
      <c r="D455" s="1" t="s">
        <v>1279</v>
      </c>
      <c r="E455" s="1" t="s">
        <v>104</v>
      </c>
      <c r="F455" s="1">
        <v>1136.0</v>
      </c>
      <c r="G455" s="1" t="s">
        <v>1280</v>
      </c>
      <c r="H455" s="1">
        <v>3093.0</v>
      </c>
      <c r="I455" s="1" t="s">
        <v>21</v>
      </c>
      <c r="J455" s="1" t="s">
        <v>80</v>
      </c>
      <c r="K455" s="1">
        <v>-22.428469</v>
      </c>
      <c r="L455" s="1">
        <v>-41.780921</v>
      </c>
      <c r="M455" s="1">
        <v>0.0</v>
      </c>
      <c r="Q455" s="1">
        <f t="shared" si="1"/>
        <v>0</v>
      </c>
    </row>
    <row r="456" ht="15.75" customHeight="1">
      <c r="A456" s="1" t="s">
        <v>1281</v>
      </c>
      <c r="B456" s="2">
        <v>45680.0</v>
      </c>
      <c r="C456" s="1" t="s">
        <v>134</v>
      </c>
      <c r="D456" s="1" t="s">
        <v>1279</v>
      </c>
      <c r="E456" s="1" t="s">
        <v>130</v>
      </c>
      <c r="F456" s="1">
        <v>13257.0</v>
      </c>
      <c r="G456" s="1" t="s">
        <v>1282</v>
      </c>
      <c r="H456" s="1">
        <v>22404.0</v>
      </c>
      <c r="I456" s="1" t="s">
        <v>198</v>
      </c>
      <c r="J456" s="1" t="s">
        <v>40</v>
      </c>
      <c r="K456" s="1">
        <v>-22.360148</v>
      </c>
      <c r="L456" s="1">
        <v>-41.769795</v>
      </c>
      <c r="M456" s="1">
        <v>2.0</v>
      </c>
      <c r="Q456" s="1">
        <f t="shared" si="1"/>
        <v>22404</v>
      </c>
    </row>
    <row r="457" ht="15.75" customHeight="1">
      <c r="A457" s="1" t="s">
        <v>1283</v>
      </c>
      <c r="B457" s="2">
        <v>46145.0</v>
      </c>
      <c r="C457" s="1" t="s">
        <v>53</v>
      </c>
      <c r="D457" s="1" t="s">
        <v>1279</v>
      </c>
      <c r="E457" s="1" t="s">
        <v>55</v>
      </c>
      <c r="F457" s="1">
        <v>2409.0</v>
      </c>
      <c r="G457" s="1" t="s">
        <v>560</v>
      </c>
      <c r="H457" s="1">
        <v>10427.0</v>
      </c>
      <c r="I457" s="1" t="s">
        <v>21</v>
      </c>
      <c r="J457" s="1" t="s">
        <v>40</v>
      </c>
      <c r="K457" s="1">
        <v>-22.438741</v>
      </c>
      <c r="L457" s="1">
        <v>-41.727519</v>
      </c>
      <c r="M457" s="1">
        <v>1.0</v>
      </c>
      <c r="Q457" s="1">
        <f t="shared" si="1"/>
        <v>0</v>
      </c>
    </row>
    <row r="458" ht="15.75" customHeight="1">
      <c r="A458" s="1" t="s">
        <v>1284</v>
      </c>
      <c r="B458" s="2">
        <v>45722.0</v>
      </c>
      <c r="C458" s="1" t="s">
        <v>681</v>
      </c>
      <c r="D458" s="1" t="s">
        <v>1279</v>
      </c>
      <c r="E458" s="1" t="s">
        <v>315</v>
      </c>
      <c r="F458" s="1">
        <v>821.0</v>
      </c>
      <c r="G458" s="1" t="s">
        <v>1285</v>
      </c>
      <c r="H458" s="1">
        <v>7658.0</v>
      </c>
      <c r="I458" s="1" t="s">
        <v>198</v>
      </c>
      <c r="J458" s="1" t="s">
        <v>34</v>
      </c>
      <c r="K458" s="1">
        <v>-22.443484</v>
      </c>
      <c r="L458" s="1">
        <v>-41.732198</v>
      </c>
      <c r="M458" s="1">
        <v>1.0</v>
      </c>
      <c r="Q458" s="1">
        <f t="shared" si="1"/>
        <v>7658</v>
      </c>
    </row>
    <row r="459" ht="15.75" customHeight="1">
      <c r="A459" s="1" t="s">
        <v>1286</v>
      </c>
      <c r="B459" s="2">
        <v>46134.0</v>
      </c>
      <c r="C459" s="1" t="s">
        <v>509</v>
      </c>
      <c r="D459" s="1" t="s">
        <v>1287</v>
      </c>
      <c r="E459" s="1" t="s">
        <v>19</v>
      </c>
      <c r="F459" s="1">
        <v>1136.0</v>
      </c>
      <c r="G459" s="1" t="s">
        <v>50</v>
      </c>
      <c r="H459" s="1">
        <v>2724.0</v>
      </c>
      <c r="I459" s="1" t="s">
        <v>198</v>
      </c>
      <c r="J459" s="1" t="s">
        <v>28</v>
      </c>
      <c r="K459" s="1">
        <v>-22.352709</v>
      </c>
      <c r="L459" s="1">
        <v>-41.742324</v>
      </c>
      <c r="M459" s="1">
        <v>3.0</v>
      </c>
      <c r="Q459" s="1">
        <f t="shared" si="1"/>
        <v>2724</v>
      </c>
    </row>
    <row r="460" ht="15.75" customHeight="1">
      <c r="A460" s="1" t="s">
        <v>1288</v>
      </c>
      <c r="B460" s="2">
        <v>45865.0</v>
      </c>
      <c r="C460" s="1" t="s">
        <v>1236</v>
      </c>
      <c r="D460" s="1" t="s">
        <v>1289</v>
      </c>
      <c r="E460" s="1" t="s">
        <v>297</v>
      </c>
      <c r="F460" s="1">
        <v>1136.0</v>
      </c>
      <c r="G460" s="1" t="s">
        <v>1290</v>
      </c>
      <c r="H460" s="1">
        <v>26990.0</v>
      </c>
      <c r="I460" s="1" t="s">
        <v>198</v>
      </c>
      <c r="J460" s="1" t="s">
        <v>40</v>
      </c>
      <c r="K460" s="1">
        <v>-22.382876</v>
      </c>
      <c r="L460" s="1">
        <v>-41.703681</v>
      </c>
      <c r="M460" s="1">
        <v>2.0</v>
      </c>
      <c r="Q460" s="1">
        <f t="shared" si="1"/>
        <v>26990</v>
      </c>
    </row>
    <row r="461" ht="15.75" customHeight="1">
      <c r="A461" s="1" t="s">
        <v>1291</v>
      </c>
      <c r="B461" s="2">
        <v>45703.0</v>
      </c>
      <c r="C461" s="1" t="s">
        <v>1292</v>
      </c>
      <c r="D461" s="1" t="s">
        <v>1293</v>
      </c>
      <c r="E461" s="1" t="s">
        <v>436</v>
      </c>
      <c r="F461" s="1">
        <v>2975.0</v>
      </c>
      <c r="G461" s="1" t="s">
        <v>315</v>
      </c>
      <c r="H461" s="1">
        <v>3796.0</v>
      </c>
      <c r="I461" s="1" t="s">
        <v>21</v>
      </c>
      <c r="J461" s="1" t="s">
        <v>51</v>
      </c>
      <c r="K461" s="1">
        <v>-22.394106</v>
      </c>
      <c r="L461" s="1">
        <v>-41.729705</v>
      </c>
      <c r="M461" s="1">
        <v>4.0</v>
      </c>
      <c r="Q461" s="1">
        <f t="shared" si="1"/>
        <v>0</v>
      </c>
    </row>
    <row r="462" ht="15.75" customHeight="1">
      <c r="A462" s="1" t="s">
        <v>1294</v>
      </c>
      <c r="B462" s="2">
        <v>46034.0</v>
      </c>
      <c r="C462" s="1" t="s">
        <v>1295</v>
      </c>
      <c r="D462" s="1" t="s">
        <v>1293</v>
      </c>
      <c r="E462" s="1" t="s">
        <v>290</v>
      </c>
      <c r="F462" s="1">
        <v>1588.0</v>
      </c>
      <c r="G462" s="1" t="s">
        <v>1296</v>
      </c>
      <c r="H462" s="1">
        <v>27551.0</v>
      </c>
      <c r="I462" s="1" t="s">
        <v>21</v>
      </c>
      <c r="J462" s="1" t="s">
        <v>205</v>
      </c>
      <c r="K462" s="1">
        <v>-22.395541</v>
      </c>
      <c r="L462" s="1">
        <v>-41.762673</v>
      </c>
      <c r="M462" s="1">
        <v>3.0</v>
      </c>
      <c r="Q462" s="1">
        <f t="shared" si="1"/>
        <v>0</v>
      </c>
    </row>
    <row r="463" ht="15.75" customHeight="1">
      <c r="A463" s="1" t="s">
        <v>1297</v>
      </c>
      <c r="B463" s="2">
        <v>46013.0</v>
      </c>
      <c r="C463" s="1" t="s">
        <v>1298</v>
      </c>
      <c r="D463" s="1" t="s">
        <v>1299</v>
      </c>
      <c r="E463" s="1" t="s">
        <v>136</v>
      </c>
      <c r="F463" s="1">
        <v>1588.0</v>
      </c>
      <c r="G463" s="1" t="s">
        <v>1300</v>
      </c>
      <c r="H463" s="1">
        <v>10212.0</v>
      </c>
      <c r="I463" s="1" t="s">
        <v>198</v>
      </c>
      <c r="J463" s="1" t="s">
        <v>28</v>
      </c>
      <c r="K463" s="1">
        <v>-22.391979</v>
      </c>
      <c r="L463" s="1">
        <v>-41.762789</v>
      </c>
      <c r="M463" s="1">
        <v>3.0</v>
      </c>
      <c r="Q463" s="1">
        <f t="shared" si="1"/>
        <v>10212</v>
      </c>
    </row>
    <row r="464" ht="15.75" customHeight="1">
      <c r="A464" s="1" t="s">
        <v>1301</v>
      </c>
      <c r="B464" s="2">
        <v>46026.0</v>
      </c>
      <c r="C464" s="1" t="s">
        <v>1302</v>
      </c>
      <c r="D464" s="1" t="s">
        <v>1303</v>
      </c>
      <c r="E464" s="1" t="s">
        <v>64</v>
      </c>
      <c r="F464" s="1">
        <v>1136.0</v>
      </c>
      <c r="G464" s="1" t="s">
        <v>1304</v>
      </c>
      <c r="H464" s="1">
        <v>4783.0</v>
      </c>
      <c r="I464" s="1" t="s">
        <v>198</v>
      </c>
      <c r="J464" s="1" t="s">
        <v>22</v>
      </c>
      <c r="K464" s="1">
        <v>-22.389785</v>
      </c>
      <c r="L464" s="1">
        <v>-41.711523</v>
      </c>
      <c r="M464" s="1">
        <v>3.0</v>
      </c>
      <c r="Q464" s="1">
        <f t="shared" si="1"/>
        <v>4783</v>
      </c>
    </row>
    <row r="465" ht="15.75" customHeight="1">
      <c r="A465" s="1" t="s">
        <v>1305</v>
      </c>
      <c r="B465" s="2">
        <v>45826.0</v>
      </c>
      <c r="C465" s="1" t="s">
        <v>431</v>
      </c>
      <c r="D465" s="1" t="s">
        <v>1303</v>
      </c>
      <c r="E465" s="1" t="s">
        <v>65</v>
      </c>
      <c r="F465" s="1">
        <v>3840.0</v>
      </c>
      <c r="G465" s="1" t="s">
        <v>1306</v>
      </c>
      <c r="H465" s="1">
        <v>8138.0</v>
      </c>
      <c r="I465" s="1" t="s">
        <v>198</v>
      </c>
      <c r="J465" s="1" t="s">
        <v>80</v>
      </c>
      <c r="K465" s="1">
        <v>-22.399365</v>
      </c>
      <c r="L465" s="1">
        <v>-41.714029</v>
      </c>
      <c r="M465" s="1">
        <v>0.0</v>
      </c>
      <c r="Q465" s="1">
        <f t="shared" si="1"/>
        <v>8138</v>
      </c>
    </row>
    <row r="466" ht="15.75" customHeight="1">
      <c r="A466" s="1" t="s">
        <v>1307</v>
      </c>
      <c r="B466" s="2">
        <v>45821.0</v>
      </c>
      <c r="C466" s="1" t="s">
        <v>475</v>
      </c>
      <c r="D466" s="1" t="s">
        <v>1308</v>
      </c>
      <c r="E466" s="1" t="s">
        <v>38</v>
      </c>
      <c r="F466" s="1">
        <v>2975.0</v>
      </c>
      <c r="G466" s="1" t="s">
        <v>95</v>
      </c>
      <c r="H466" s="1">
        <v>4563.0</v>
      </c>
      <c r="I466" s="1" t="s">
        <v>198</v>
      </c>
      <c r="J466" s="1" t="s">
        <v>28</v>
      </c>
      <c r="K466" s="1">
        <v>-22.352277</v>
      </c>
      <c r="L466" s="1">
        <v>-41.720772</v>
      </c>
      <c r="M466" s="1">
        <v>4.0</v>
      </c>
      <c r="Q466" s="1">
        <f t="shared" si="1"/>
        <v>4563</v>
      </c>
    </row>
    <row r="467" ht="15.75" customHeight="1">
      <c r="A467" s="1" t="s">
        <v>1309</v>
      </c>
      <c r="B467" s="2">
        <v>45700.0</v>
      </c>
      <c r="C467" s="1" t="s">
        <v>1138</v>
      </c>
      <c r="D467" s="1" t="s">
        <v>1308</v>
      </c>
      <c r="E467" s="1" t="s">
        <v>504</v>
      </c>
      <c r="F467" s="1">
        <v>1136.0</v>
      </c>
      <c r="G467" s="1" t="s">
        <v>130</v>
      </c>
      <c r="H467" s="1">
        <v>14393.0</v>
      </c>
      <c r="I467" s="1" t="s">
        <v>21</v>
      </c>
      <c r="J467" s="1" t="s">
        <v>22</v>
      </c>
      <c r="K467" s="1">
        <v>-22.392454</v>
      </c>
      <c r="L467" s="1">
        <v>-41.774528</v>
      </c>
      <c r="M467" s="1">
        <v>4.0</v>
      </c>
      <c r="Q467" s="1">
        <f t="shared" si="1"/>
        <v>0</v>
      </c>
    </row>
    <row r="468" ht="15.75" customHeight="1">
      <c r="A468" s="1" t="s">
        <v>1310</v>
      </c>
      <c r="B468" s="2">
        <v>45777.0</v>
      </c>
      <c r="C468" s="1" t="s">
        <v>30</v>
      </c>
      <c r="D468" s="1" t="s">
        <v>1311</v>
      </c>
      <c r="E468" s="1" t="s">
        <v>32</v>
      </c>
      <c r="F468" s="1">
        <v>1059.0</v>
      </c>
      <c r="G468" s="1" t="s">
        <v>1312</v>
      </c>
      <c r="H468" s="1">
        <v>11312.0</v>
      </c>
      <c r="I468" s="1" t="s">
        <v>198</v>
      </c>
      <c r="J468" s="1" t="s">
        <v>80</v>
      </c>
      <c r="K468" s="1">
        <v>-22.395155</v>
      </c>
      <c r="L468" s="1">
        <v>-41.760504</v>
      </c>
      <c r="M468" s="1">
        <v>2.0</v>
      </c>
      <c r="Q468" s="1">
        <f t="shared" si="1"/>
        <v>11312</v>
      </c>
    </row>
    <row r="469" ht="15.75" customHeight="1">
      <c r="A469" s="1" t="s">
        <v>1313</v>
      </c>
      <c r="B469" s="2">
        <v>46075.0</v>
      </c>
      <c r="C469" s="1" t="s">
        <v>900</v>
      </c>
      <c r="D469" s="1" t="s">
        <v>1314</v>
      </c>
      <c r="E469" s="1" t="s">
        <v>409</v>
      </c>
      <c r="F469" s="1">
        <v>1136.0</v>
      </c>
      <c r="G469" s="1" t="s">
        <v>1315</v>
      </c>
      <c r="H469" s="1">
        <v>8230.0</v>
      </c>
      <c r="I469" s="1" t="s">
        <v>198</v>
      </c>
      <c r="J469" s="1" t="s">
        <v>34</v>
      </c>
      <c r="K469" s="1">
        <v>-22.385953</v>
      </c>
      <c r="L469" s="1">
        <v>-41.754635</v>
      </c>
      <c r="M469" s="1">
        <v>0.0</v>
      </c>
      <c r="Q469" s="1">
        <f t="shared" si="1"/>
        <v>8230</v>
      </c>
    </row>
    <row r="470" ht="15.75" customHeight="1">
      <c r="A470" s="1" t="s">
        <v>1316</v>
      </c>
      <c r="B470" s="2">
        <v>45805.0</v>
      </c>
      <c r="C470" s="1" t="s">
        <v>1317</v>
      </c>
      <c r="D470" s="1" t="s">
        <v>1318</v>
      </c>
      <c r="E470" s="1" t="s">
        <v>436</v>
      </c>
      <c r="F470" s="1">
        <v>2975.0</v>
      </c>
      <c r="G470" s="1" t="s">
        <v>1319</v>
      </c>
      <c r="H470" s="1">
        <v>6364.0</v>
      </c>
      <c r="I470" s="1" t="s">
        <v>198</v>
      </c>
      <c r="J470" s="1" t="s">
        <v>86</v>
      </c>
      <c r="K470" s="1">
        <v>-22.425817</v>
      </c>
      <c r="L470" s="1">
        <v>-41.759388</v>
      </c>
      <c r="M470" s="1">
        <v>0.0</v>
      </c>
      <c r="Q470" s="1">
        <f t="shared" si="1"/>
        <v>6364</v>
      </c>
    </row>
    <row r="471" ht="15.75" customHeight="1">
      <c r="A471" s="1" t="s">
        <v>1320</v>
      </c>
      <c r="B471" s="2">
        <v>45674.0</v>
      </c>
      <c r="C471" s="1" t="s">
        <v>1321</v>
      </c>
      <c r="D471" s="1" t="s">
        <v>1318</v>
      </c>
      <c r="E471" s="1" t="s">
        <v>44</v>
      </c>
      <c r="F471" s="1">
        <v>5506.0</v>
      </c>
      <c r="G471" s="1" t="s">
        <v>1322</v>
      </c>
      <c r="H471" s="1">
        <v>11187.0</v>
      </c>
      <c r="I471" s="1" t="s">
        <v>21</v>
      </c>
      <c r="J471" s="1" t="s">
        <v>86</v>
      </c>
      <c r="K471" s="1">
        <v>-22.437892</v>
      </c>
      <c r="L471" s="1">
        <v>-41.781429</v>
      </c>
      <c r="M471" s="1">
        <v>0.0</v>
      </c>
      <c r="Q471" s="1">
        <f t="shared" si="1"/>
        <v>0</v>
      </c>
    </row>
    <row r="472" ht="15.75" customHeight="1">
      <c r="A472" s="1" t="s">
        <v>1323</v>
      </c>
      <c r="B472" s="2">
        <v>45779.0</v>
      </c>
      <c r="C472" s="1" t="s">
        <v>1324</v>
      </c>
      <c r="D472" s="1" t="s">
        <v>1318</v>
      </c>
      <c r="E472" s="1" t="s">
        <v>121</v>
      </c>
      <c r="F472" s="1">
        <v>7364.0</v>
      </c>
      <c r="G472" s="1" t="s">
        <v>197</v>
      </c>
      <c r="H472" s="1">
        <v>7559.0</v>
      </c>
      <c r="I472" s="1" t="s">
        <v>198</v>
      </c>
      <c r="J472" s="1" t="s">
        <v>80</v>
      </c>
      <c r="K472" s="1">
        <v>-22.383841</v>
      </c>
      <c r="L472" s="1">
        <v>-41.798943</v>
      </c>
      <c r="M472" s="1">
        <v>3.0</v>
      </c>
      <c r="Q472" s="1">
        <f t="shared" si="1"/>
        <v>7559</v>
      </c>
    </row>
    <row r="473" ht="15.75" customHeight="1">
      <c r="A473" s="1" t="s">
        <v>1325</v>
      </c>
      <c r="B473" s="2">
        <v>45871.0</v>
      </c>
      <c r="C473" s="1" t="s">
        <v>695</v>
      </c>
      <c r="D473" s="1" t="s">
        <v>1318</v>
      </c>
      <c r="E473" s="1" t="s">
        <v>95</v>
      </c>
      <c r="F473" s="1">
        <v>1588.0</v>
      </c>
      <c r="G473" s="1" t="s">
        <v>1326</v>
      </c>
      <c r="H473" s="1">
        <v>8699.0</v>
      </c>
      <c r="I473" s="1" t="s">
        <v>198</v>
      </c>
      <c r="J473" s="1" t="s">
        <v>51</v>
      </c>
      <c r="K473" s="1">
        <v>-22.388074</v>
      </c>
      <c r="L473" s="1">
        <v>-41.708044</v>
      </c>
      <c r="M473" s="1">
        <v>2.0</v>
      </c>
      <c r="Q473" s="1">
        <f t="shared" si="1"/>
        <v>8699</v>
      </c>
    </row>
    <row r="474" ht="15.75" customHeight="1">
      <c r="A474" s="1" t="s">
        <v>1327</v>
      </c>
      <c r="B474" s="2">
        <v>46169.0</v>
      </c>
      <c r="C474" s="1" t="s">
        <v>910</v>
      </c>
      <c r="D474" s="1" t="s">
        <v>1318</v>
      </c>
      <c r="E474" s="1" t="s">
        <v>38</v>
      </c>
      <c r="F474" s="1">
        <v>2975.0</v>
      </c>
      <c r="G474" s="1" t="s">
        <v>1328</v>
      </c>
      <c r="H474" s="1">
        <v>6096.0</v>
      </c>
      <c r="I474" s="1" t="s">
        <v>21</v>
      </c>
      <c r="J474" s="1" t="s">
        <v>80</v>
      </c>
      <c r="K474" s="1">
        <v>-22.446896</v>
      </c>
      <c r="L474" s="1">
        <v>-41.729937</v>
      </c>
      <c r="M474" s="1">
        <v>2.0</v>
      </c>
      <c r="Q474" s="1">
        <f t="shared" si="1"/>
        <v>0</v>
      </c>
    </row>
    <row r="475" ht="15.75" customHeight="1">
      <c r="A475" s="1" t="s">
        <v>1329</v>
      </c>
      <c r="B475" s="2">
        <v>46160.0</v>
      </c>
      <c r="C475" s="1" t="s">
        <v>519</v>
      </c>
      <c r="D475" s="1" t="s">
        <v>1330</v>
      </c>
      <c r="E475" s="1" t="s">
        <v>177</v>
      </c>
      <c r="F475" s="1">
        <v>3271.0</v>
      </c>
      <c r="G475" s="1" t="s">
        <v>1331</v>
      </c>
      <c r="H475" s="1">
        <v>7565.0</v>
      </c>
      <c r="I475" s="1" t="s">
        <v>198</v>
      </c>
      <c r="J475" s="1" t="s">
        <v>51</v>
      </c>
      <c r="K475" s="1">
        <v>-22.446133</v>
      </c>
      <c r="L475" s="1">
        <v>-41.751255</v>
      </c>
      <c r="M475" s="1">
        <v>0.0</v>
      </c>
      <c r="Q475" s="1">
        <f t="shared" si="1"/>
        <v>7565</v>
      </c>
    </row>
    <row r="476" ht="15.75" customHeight="1">
      <c r="A476" s="1" t="s">
        <v>1332</v>
      </c>
      <c r="B476" s="2">
        <v>45742.0</v>
      </c>
      <c r="C476" s="1" t="s">
        <v>548</v>
      </c>
      <c r="D476" s="1" t="s">
        <v>1330</v>
      </c>
      <c r="E476" s="1" t="s">
        <v>84</v>
      </c>
      <c r="F476" s="1">
        <v>9435.0</v>
      </c>
      <c r="G476" s="1" t="s">
        <v>1333</v>
      </c>
      <c r="H476" s="1">
        <v>10689.0</v>
      </c>
      <c r="I476" s="1" t="s">
        <v>21</v>
      </c>
      <c r="J476" s="1" t="s">
        <v>22</v>
      </c>
      <c r="K476" s="1">
        <v>-22.404531</v>
      </c>
      <c r="L476" s="1">
        <v>-41.725095</v>
      </c>
      <c r="M476" s="1">
        <v>1.0</v>
      </c>
      <c r="Q476" s="1">
        <f t="shared" si="1"/>
        <v>0</v>
      </c>
    </row>
    <row r="477" ht="15.75" customHeight="1">
      <c r="A477" s="1" t="s">
        <v>1334</v>
      </c>
      <c r="B477" s="2">
        <v>46120.0</v>
      </c>
      <c r="C477" s="1" t="s">
        <v>908</v>
      </c>
      <c r="D477" s="1" t="s">
        <v>1330</v>
      </c>
      <c r="E477" s="1" t="s">
        <v>33</v>
      </c>
      <c r="F477" s="1">
        <v>821.0</v>
      </c>
      <c r="G477" s="1" t="s">
        <v>1335</v>
      </c>
      <c r="H477" s="1">
        <v>5992.0</v>
      </c>
      <c r="I477" s="1" t="s">
        <v>198</v>
      </c>
      <c r="J477" s="1" t="s">
        <v>51</v>
      </c>
      <c r="K477" s="1">
        <v>-22.440505</v>
      </c>
      <c r="L477" s="1">
        <v>-41.731618</v>
      </c>
      <c r="M477" s="1">
        <v>1.0</v>
      </c>
      <c r="Q477" s="1">
        <f t="shared" si="1"/>
        <v>5992</v>
      </c>
    </row>
    <row r="478" ht="15.75" customHeight="1">
      <c r="A478" s="1" t="s">
        <v>1336</v>
      </c>
      <c r="B478" s="2">
        <v>45843.0</v>
      </c>
      <c r="C478" s="1" t="s">
        <v>215</v>
      </c>
      <c r="D478" s="1" t="s">
        <v>1330</v>
      </c>
      <c r="E478" s="1" t="s">
        <v>59</v>
      </c>
      <c r="F478" s="1">
        <v>1790.0</v>
      </c>
      <c r="G478" s="1" t="s">
        <v>1337</v>
      </c>
      <c r="H478" s="1">
        <v>7026.0</v>
      </c>
      <c r="I478" s="1" t="s">
        <v>21</v>
      </c>
      <c r="J478" s="1" t="s">
        <v>86</v>
      </c>
      <c r="K478" s="1">
        <v>-22.380287</v>
      </c>
      <c r="L478" s="1">
        <v>-41.761182</v>
      </c>
      <c r="M478" s="1">
        <v>3.0</v>
      </c>
      <c r="Q478" s="1">
        <f t="shared" si="1"/>
        <v>0</v>
      </c>
    </row>
    <row r="479" ht="15.75" customHeight="1">
      <c r="A479" s="1" t="s">
        <v>1338</v>
      </c>
      <c r="B479" s="2">
        <v>46160.0</v>
      </c>
      <c r="C479" s="1" t="s">
        <v>716</v>
      </c>
      <c r="D479" s="1" t="s">
        <v>1330</v>
      </c>
      <c r="E479" s="1" t="s">
        <v>356</v>
      </c>
      <c r="F479" s="1">
        <v>0.0</v>
      </c>
      <c r="G479" s="1" t="s">
        <v>1339</v>
      </c>
      <c r="H479" s="1">
        <v>13432.0</v>
      </c>
      <c r="I479" s="1" t="s">
        <v>21</v>
      </c>
      <c r="J479" s="1" t="s">
        <v>205</v>
      </c>
      <c r="K479" s="1">
        <v>-22.420661</v>
      </c>
      <c r="L479" s="1">
        <v>-41.783725</v>
      </c>
      <c r="M479" s="1">
        <v>1.0</v>
      </c>
      <c r="Q479" s="1">
        <f t="shared" si="1"/>
        <v>0</v>
      </c>
    </row>
    <row r="480" ht="15.75" customHeight="1">
      <c r="A480" s="1" t="s">
        <v>1340</v>
      </c>
      <c r="B480" s="2">
        <v>45736.0</v>
      </c>
      <c r="C480" s="1" t="s">
        <v>1341</v>
      </c>
      <c r="D480" s="1" t="s">
        <v>1330</v>
      </c>
      <c r="E480" s="1" t="s">
        <v>185</v>
      </c>
      <c r="F480" s="1">
        <v>3162.0</v>
      </c>
      <c r="G480" s="1" t="s">
        <v>1342</v>
      </c>
      <c r="H480" s="1">
        <v>9322.0</v>
      </c>
      <c r="I480" s="1" t="s">
        <v>21</v>
      </c>
      <c r="J480" s="1" t="s">
        <v>205</v>
      </c>
      <c r="K480" s="1">
        <v>-22.401375</v>
      </c>
      <c r="L480" s="1">
        <v>-41.799431</v>
      </c>
      <c r="M480" s="1">
        <v>1.0</v>
      </c>
      <c r="Q480" s="1">
        <f t="shared" si="1"/>
        <v>0</v>
      </c>
    </row>
    <row r="481" ht="15.75" customHeight="1">
      <c r="A481" s="1" t="s">
        <v>1343</v>
      </c>
      <c r="B481" s="2">
        <v>45967.0</v>
      </c>
      <c r="C481" s="1" t="s">
        <v>1344</v>
      </c>
      <c r="D481" s="1" t="s">
        <v>1345</v>
      </c>
      <c r="E481" s="1" t="s">
        <v>256</v>
      </c>
      <c r="F481" s="1">
        <v>2512.0</v>
      </c>
      <c r="G481" s="1" t="s">
        <v>177</v>
      </c>
      <c r="H481" s="1">
        <v>5783.0</v>
      </c>
      <c r="I481" s="1" t="s">
        <v>21</v>
      </c>
      <c r="J481" s="1" t="s">
        <v>34</v>
      </c>
      <c r="K481" s="1">
        <v>-22.415993</v>
      </c>
      <c r="L481" s="1">
        <v>-41.731697</v>
      </c>
      <c r="M481" s="1">
        <v>1.0</v>
      </c>
      <c r="Q481" s="1">
        <f t="shared" si="1"/>
        <v>0</v>
      </c>
    </row>
    <row r="482" ht="15.75" customHeight="1">
      <c r="A482" s="1" t="s">
        <v>1346</v>
      </c>
      <c r="B482" s="2">
        <v>45761.0</v>
      </c>
      <c r="C482" s="1" t="s">
        <v>76</v>
      </c>
      <c r="D482" s="1" t="s">
        <v>1345</v>
      </c>
      <c r="E482" s="1" t="s">
        <v>78</v>
      </c>
      <c r="F482" s="1">
        <v>195.0</v>
      </c>
      <c r="G482" s="1" t="s">
        <v>392</v>
      </c>
      <c r="H482" s="1">
        <v>2707.0</v>
      </c>
      <c r="I482" s="1" t="s">
        <v>21</v>
      </c>
      <c r="J482" s="1" t="s">
        <v>28</v>
      </c>
      <c r="K482" s="1">
        <v>-22.4368</v>
      </c>
      <c r="L482" s="1">
        <v>-41.70212</v>
      </c>
      <c r="M482" s="1">
        <v>1.0</v>
      </c>
      <c r="Q482" s="1">
        <f t="shared" si="1"/>
        <v>0</v>
      </c>
    </row>
    <row r="483" ht="15.75" customHeight="1">
      <c r="A483" s="1" t="s">
        <v>1347</v>
      </c>
      <c r="B483" s="2">
        <v>46098.0</v>
      </c>
      <c r="C483" s="1" t="s">
        <v>462</v>
      </c>
      <c r="D483" s="1" t="s">
        <v>1348</v>
      </c>
      <c r="E483" s="1" t="s">
        <v>95</v>
      </c>
      <c r="F483" s="1">
        <v>1588.0</v>
      </c>
      <c r="G483" s="1" t="s">
        <v>1349</v>
      </c>
      <c r="H483" s="1">
        <v>5431.0</v>
      </c>
      <c r="I483" s="1" t="s">
        <v>198</v>
      </c>
      <c r="J483" s="1" t="s">
        <v>80</v>
      </c>
      <c r="K483" s="1">
        <v>-22.386517</v>
      </c>
      <c r="L483" s="1">
        <v>-41.789367</v>
      </c>
      <c r="M483" s="1">
        <v>0.0</v>
      </c>
      <c r="Q483" s="1">
        <f t="shared" si="1"/>
        <v>5431</v>
      </c>
    </row>
    <row r="484" ht="15.75" customHeight="1">
      <c r="A484" s="1" t="s">
        <v>1350</v>
      </c>
      <c r="B484" s="2">
        <v>46090.0</v>
      </c>
      <c r="C484" s="1" t="s">
        <v>282</v>
      </c>
      <c r="D484" s="1" t="s">
        <v>1348</v>
      </c>
      <c r="E484" s="1" t="s">
        <v>45</v>
      </c>
      <c r="F484" s="1">
        <v>3162.0</v>
      </c>
      <c r="G484" s="1" t="s">
        <v>197</v>
      </c>
      <c r="H484" s="1">
        <v>3357.0</v>
      </c>
      <c r="I484" s="1" t="s">
        <v>198</v>
      </c>
      <c r="J484" s="1" t="s">
        <v>22</v>
      </c>
      <c r="K484" s="1">
        <v>-22.441276</v>
      </c>
      <c r="L484" s="1">
        <v>-41.712222</v>
      </c>
      <c r="M484" s="1">
        <v>0.0</v>
      </c>
      <c r="Q484" s="1">
        <f t="shared" si="1"/>
        <v>3357</v>
      </c>
    </row>
    <row r="485" ht="15.75" customHeight="1">
      <c r="A485" s="1" t="s">
        <v>1351</v>
      </c>
      <c r="B485" s="2">
        <v>45798.0</v>
      </c>
      <c r="C485" s="1" t="s">
        <v>900</v>
      </c>
      <c r="D485" s="1" t="s">
        <v>1348</v>
      </c>
      <c r="E485" s="1" t="s">
        <v>409</v>
      </c>
      <c r="F485" s="1">
        <v>1136.0</v>
      </c>
      <c r="G485" s="1" t="s">
        <v>1352</v>
      </c>
      <c r="H485" s="1">
        <v>5434.0</v>
      </c>
      <c r="I485" s="1" t="s">
        <v>21</v>
      </c>
      <c r="J485" s="1" t="s">
        <v>40</v>
      </c>
      <c r="K485" s="1">
        <v>-22.4338</v>
      </c>
      <c r="L485" s="1">
        <v>-41.742958</v>
      </c>
      <c r="M485" s="1">
        <v>0.0</v>
      </c>
      <c r="Q485" s="1">
        <f t="shared" si="1"/>
        <v>0</v>
      </c>
    </row>
    <row r="486" ht="15.75" customHeight="1">
      <c r="A486" s="1" t="s">
        <v>1353</v>
      </c>
      <c r="B486" s="2">
        <v>45927.0</v>
      </c>
      <c r="C486" s="1" t="s">
        <v>900</v>
      </c>
      <c r="D486" s="1" t="s">
        <v>1348</v>
      </c>
      <c r="E486" s="1" t="s">
        <v>409</v>
      </c>
      <c r="F486" s="1">
        <v>1136.0</v>
      </c>
      <c r="G486" s="1" t="s">
        <v>392</v>
      </c>
      <c r="H486" s="1">
        <v>3648.0</v>
      </c>
      <c r="I486" s="1" t="s">
        <v>198</v>
      </c>
      <c r="J486" s="1" t="s">
        <v>22</v>
      </c>
      <c r="K486" s="1">
        <v>-22.352913</v>
      </c>
      <c r="L486" s="1">
        <v>-41.734374</v>
      </c>
      <c r="M486" s="1">
        <v>3.0</v>
      </c>
      <c r="Q486" s="1">
        <f t="shared" si="1"/>
        <v>3648</v>
      </c>
    </row>
    <row r="487" ht="15.75" customHeight="1">
      <c r="A487" s="1" t="s">
        <v>1354</v>
      </c>
      <c r="B487" s="2">
        <v>45895.0</v>
      </c>
      <c r="C487" s="1" t="s">
        <v>57</v>
      </c>
      <c r="D487" s="1" t="s">
        <v>1355</v>
      </c>
      <c r="E487" s="1" t="s">
        <v>59</v>
      </c>
      <c r="F487" s="1">
        <v>1790.0</v>
      </c>
      <c r="G487" s="1" t="s">
        <v>1356</v>
      </c>
      <c r="H487" s="1">
        <v>5361.0</v>
      </c>
      <c r="I487" s="1" t="s">
        <v>21</v>
      </c>
      <c r="J487" s="1" t="s">
        <v>28</v>
      </c>
      <c r="K487" s="1">
        <v>-22.419966</v>
      </c>
      <c r="L487" s="1">
        <v>-41.725336</v>
      </c>
      <c r="M487" s="1">
        <v>1.0</v>
      </c>
      <c r="Q487" s="1">
        <f t="shared" si="1"/>
        <v>0</v>
      </c>
    </row>
    <row r="488" ht="15.75" customHeight="1">
      <c r="A488" s="1" t="s">
        <v>1357</v>
      </c>
      <c r="B488" s="2">
        <v>45670.0</v>
      </c>
      <c r="C488" s="1" t="s">
        <v>1138</v>
      </c>
      <c r="D488" s="1" t="s">
        <v>1355</v>
      </c>
      <c r="E488" s="1" t="s">
        <v>504</v>
      </c>
      <c r="F488" s="1">
        <v>1136.0</v>
      </c>
      <c r="G488" s="1" t="s">
        <v>136</v>
      </c>
      <c r="H488" s="1">
        <v>2724.0</v>
      </c>
      <c r="I488" s="1" t="s">
        <v>21</v>
      </c>
      <c r="J488" s="1" t="s">
        <v>86</v>
      </c>
      <c r="K488" s="1">
        <v>-22.391443</v>
      </c>
      <c r="L488" s="1">
        <v>-41.799114</v>
      </c>
      <c r="M488" s="1">
        <v>0.0</v>
      </c>
      <c r="Q488" s="1">
        <f t="shared" si="1"/>
        <v>0</v>
      </c>
    </row>
    <row r="489" ht="15.75" customHeight="1">
      <c r="A489" s="1" t="s">
        <v>1358</v>
      </c>
      <c r="B489" s="2">
        <v>45851.0</v>
      </c>
      <c r="C489" s="1" t="s">
        <v>647</v>
      </c>
      <c r="D489" s="1" t="s">
        <v>1355</v>
      </c>
      <c r="E489" s="1" t="s">
        <v>314</v>
      </c>
      <c r="F489" s="1">
        <v>1790.0</v>
      </c>
      <c r="G489" s="1" t="s">
        <v>1359</v>
      </c>
      <c r="H489" s="1">
        <v>4394.0</v>
      </c>
      <c r="I489" s="1" t="s">
        <v>21</v>
      </c>
      <c r="J489" s="1" t="s">
        <v>205</v>
      </c>
      <c r="K489" s="1">
        <v>-22.402127</v>
      </c>
      <c r="L489" s="1">
        <v>-41.790095</v>
      </c>
      <c r="M489" s="1">
        <v>3.0</v>
      </c>
      <c r="Q489" s="1">
        <f t="shared" si="1"/>
        <v>0</v>
      </c>
    </row>
    <row r="490" ht="15.75" customHeight="1">
      <c r="A490" s="1" t="s">
        <v>1360</v>
      </c>
      <c r="B490" s="2">
        <v>45788.0</v>
      </c>
      <c r="C490" s="1" t="s">
        <v>1361</v>
      </c>
      <c r="D490" s="1" t="s">
        <v>1355</v>
      </c>
      <c r="E490" s="1" t="s">
        <v>177</v>
      </c>
      <c r="F490" s="1">
        <v>3271.0</v>
      </c>
      <c r="G490" s="1" t="s">
        <v>1362</v>
      </c>
      <c r="H490" s="1">
        <v>14206.0</v>
      </c>
      <c r="I490" s="1" t="s">
        <v>21</v>
      </c>
      <c r="J490" s="1" t="s">
        <v>28</v>
      </c>
      <c r="K490" s="1">
        <v>-22.363881</v>
      </c>
      <c r="L490" s="1">
        <v>-41.793201</v>
      </c>
      <c r="M490" s="1">
        <v>4.0</v>
      </c>
      <c r="Q490" s="1">
        <f t="shared" si="1"/>
        <v>0</v>
      </c>
    </row>
    <row r="491" ht="15.75" customHeight="1">
      <c r="A491" s="1" t="s">
        <v>1363</v>
      </c>
      <c r="B491" s="2">
        <v>45910.0</v>
      </c>
      <c r="C491" s="1" t="s">
        <v>1364</v>
      </c>
      <c r="D491" s="1" t="s">
        <v>1365</v>
      </c>
      <c r="E491" s="1" t="s">
        <v>50</v>
      </c>
      <c r="F491" s="1">
        <v>1588.0</v>
      </c>
      <c r="G491" s="1" t="s">
        <v>59</v>
      </c>
      <c r="H491" s="1">
        <v>3378.0</v>
      </c>
      <c r="I491" s="1" t="s">
        <v>21</v>
      </c>
      <c r="J491" s="1" t="s">
        <v>80</v>
      </c>
      <c r="K491" s="1">
        <v>-22.356239</v>
      </c>
      <c r="L491" s="1">
        <v>-41.717202</v>
      </c>
      <c r="M491" s="1">
        <v>3.0</v>
      </c>
      <c r="Q491" s="1">
        <f t="shared" si="1"/>
        <v>0</v>
      </c>
    </row>
    <row r="492" ht="15.75" customHeight="1">
      <c r="A492" s="1" t="s">
        <v>1366</v>
      </c>
      <c r="B492" s="2">
        <v>45986.0</v>
      </c>
      <c r="C492" s="1" t="s">
        <v>407</v>
      </c>
      <c r="D492" s="1" t="s">
        <v>1365</v>
      </c>
      <c r="E492" s="1" t="s">
        <v>210</v>
      </c>
      <c r="F492" s="1">
        <v>1588.0</v>
      </c>
      <c r="G492" s="1" t="s">
        <v>392</v>
      </c>
      <c r="H492" s="1">
        <v>4100.0</v>
      </c>
      <c r="I492" s="1" t="s">
        <v>21</v>
      </c>
      <c r="J492" s="1" t="s">
        <v>40</v>
      </c>
      <c r="K492" s="1">
        <v>-22.430739</v>
      </c>
      <c r="L492" s="1">
        <v>-41.72735</v>
      </c>
      <c r="M492" s="1">
        <v>3.0</v>
      </c>
      <c r="Q492" s="1">
        <f t="shared" si="1"/>
        <v>0</v>
      </c>
    </row>
    <row r="493" ht="15.75" customHeight="1">
      <c r="A493" s="1" t="s">
        <v>1367</v>
      </c>
      <c r="B493" s="2">
        <v>45788.0</v>
      </c>
      <c r="C493" s="1" t="s">
        <v>1298</v>
      </c>
      <c r="D493" s="1" t="s">
        <v>1368</v>
      </c>
      <c r="E493" s="1" t="s">
        <v>136</v>
      </c>
      <c r="F493" s="1">
        <v>1588.0</v>
      </c>
      <c r="G493" s="1" t="s">
        <v>1369</v>
      </c>
      <c r="H493" s="1">
        <v>6249.0</v>
      </c>
      <c r="I493" s="1" t="s">
        <v>21</v>
      </c>
      <c r="J493" s="1" t="s">
        <v>51</v>
      </c>
      <c r="K493" s="1">
        <v>-22.385396</v>
      </c>
      <c r="L493" s="1">
        <v>-41.724457</v>
      </c>
      <c r="M493" s="1">
        <v>3.0</v>
      </c>
      <c r="Q493" s="1">
        <f t="shared" si="1"/>
        <v>0</v>
      </c>
    </row>
    <row r="494" ht="15.75" customHeight="1">
      <c r="A494" s="1" t="s">
        <v>1370</v>
      </c>
      <c r="B494" s="2">
        <v>46167.0</v>
      </c>
      <c r="C494" s="1" t="s">
        <v>113</v>
      </c>
      <c r="D494" s="1" t="s">
        <v>1371</v>
      </c>
      <c r="E494" s="1" t="s">
        <v>69</v>
      </c>
      <c r="F494" s="1">
        <v>4825.0</v>
      </c>
      <c r="G494" s="1" t="s">
        <v>70</v>
      </c>
      <c r="H494" s="1">
        <v>8665.0</v>
      </c>
      <c r="I494" s="1" t="s">
        <v>198</v>
      </c>
      <c r="J494" s="1" t="s">
        <v>51</v>
      </c>
      <c r="K494" s="1">
        <v>-22.390018</v>
      </c>
      <c r="L494" s="1">
        <v>-41.758268</v>
      </c>
      <c r="M494" s="1">
        <v>0.0</v>
      </c>
      <c r="Q494" s="1">
        <f t="shared" si="1"/>
        <v>8665</v>
      </c>
    </row>
    <row r="495" ht="15.75" customHeight="1">
      <c r="A495" s="1" t="s">
        <v>1372</v>
      </c>
      <c r="B495" s="2">
        <v>46036.0</v>
      </c>
      <c r="C495" s="1" t="s">
        <v>30</v>
      </c>
      <c r="D495" s="1" t="s">
        <v>1371</v>
      </c>
      <c r="E495" s="1" t="s">
        <v>32</v>
      </c>
      <c r="F495" s="1">
        <v>1059.0</v>
      </c>
      <c r="G495" s="1" t="s">
        <v>163</v>
      </c>
      <c r="H495" s="1">
        <v>3118.0</v>
      </c>
      <c r="I495" s="1" t="s">
        <v>21</v>
      </c>
      <c r="J495" s="1" t="s">
        <v>51</v>
      </c>
      <c r="K495" s="1">
        <v>-22.421917</v>
      </c>
      <c r="L495" s="1">
        <v>-41.734983</v>
      </c>
      <c r="M495" s="1">
        <v>2.0</v>
      </c>
      <c r="Q495" s="1">
        <f t="shared" si="1"/>
        <v>0</v>
      </c>
    </row>
    <row r="496" ht="15.75" customHeight="1">
      <c r="A496" s="1" t="s">
        <v>1373</v>
      </c>
      <c r="B496" s="2">
        <v>45973.0</v>
      </c>
      <c r="C496" s="1" t="s">
        <v>713</v>
      </c>
      <c r="D496" s="1" t="s">
        <v>1374</v>
      </c>
      <c r="E496" s="1" t="s">
        <v>65</v>
      </c>
      <c r="F496" s="1">
        <v>3840.0</v>
      </c>
      <c r="G496" s="1" t="s">
        <v>1375</v>
      </c>
      <c r="H496" s="1">
        <v>8739.0</v>
      </c>
      <c r="I496" s="1" t="s">
        <v>198</v>
      </c>
      <c r="J496" s="1" t="s">
        <v>205</v>
      </c>
      <c r="K496" s="1">
        <v>-22.411391</v>
      </c>
      <c r="L496" s="1">
        <v>-41.712884</v>
      </c>
      <c r="M496" s="1">
        <v>3.0</v>
      </c>
      <c r="Q496" s="1">
        <f t="shared" si="1"/>
        <v>8739</v>
      </c>
    </row>
    <row r="497" ht="15.75" customHeight="1">
      <c r="A497" s="1" t="s">
        <v>1376</v>
      </c>
      <c r="B497" s="2">
        <v>46138.0</v>
      </c>
      <c r="C497" s="1" t="s">
        <v>215</v>
      </c>
      <c r="D497" s="1" t="s">
        <v>1377</v>
      </c>
      <c r="E497" s="1" t="s">
        <v>59</v>
      </c>
      <c r="F497" s="1">
        <v>1790.0</v>
      </c>
      <c r="G497" s="1" t="s">
        <v>1378</v>
      </c>
      <c r="H497" s="1">
        <v>12195.0</v>
      </c>
      <c r="I497" s="1" t="s">
        <v>21</v>
      </c>
      <c r="J497" s="1" t="s">
        <v>22</v>
      </c>
      <c r="K497" s="1">
        <v>-22.380858</v>
      </c>
      <c r="L497" s="1">
        <v>-41.702477</v>
      </c>
      <c r="M497" s="1">
        <v>2.0</v>
      </c>
      <c r="Q497" s="1">
        <f t="shared" si="1"/>
        <v>0</v>
      </c>
    </row>
    <row r="498" ht="15.75" customHeight="1">
      <c r="A498" s="1" t="s">
        <v>1379</v>
      </c>
      <c r="B498" s="2">
        <v>45932.0</v>
      </c>
      <c r="C498" s="1" t="s">
        <v>716</v>
      </c>
      <c r="D498" s="1" t="s">
        <v>1377</v>
      </c>
      <c r="E498" s="1" t="s">
        <v>356</v>
      </c>
      <c r="F498" s="1">
        <v>0.0</v>
      </c>
      <c r="G498" s="1" t="s">
        <v>1380</v>
      </c>
      <c r="H498" s="1">
        <v>12851.0</v>
      </c>
      <c r="I498" s="1" t="s">
        <v>198</v>
      </c>
      <c r="J498" s="1" t="s">
        <v>86</v>
      </c>
      <c r="K498" s="1">
        <v>-22.390557</v>
      </c>
      <c r="L498" s="1">
        <v>-41.777216</v>
      </c>
      <c r="M498" s="1">
        <v>2.0</v>
      </c>
      <c r="Q498" s="1">
        <f t="shared" si="1"/>
        <v>12851</v>
      </c>
    </row>
    <row r="499" ht="15.75" customHeight="1">
      <c r="A499" s="1" t="s">
        <v>1381</v>
      </c>
      <c r="B499" s="2">
        <v>46014.0</v>
      </c>
      <c r="C499" s="1" t="s">
        <v>834</v>
      </c>
      <c r="D499" s="1" t="s">
        <v>1377</v>
      </c>
      <c r="E499" s="1" t="s">
        <v>49</v>
      </c>
      <c r="F499" s="1">
        <v>8020.0</v>
      </c>
      <c r="G499" s="1" t="s">
        <v>59</v>
      </c>
      <c r="H499" s="1">
        <v>9810.0</v>
      </c>
      <c r="I499" s="1" t="s">
        <v>21</v>
      </c>
      <c r="J499" s="1" t="s">
        <v>34</v>
      </c>
      <c r="K499" s="1">
        <v>-22.367426</v>
      </c>
      <c r="L499" s="1">
        <v>-41.748233</v>
      </c>
      <c r="M499" s="1">
        <v>2.0</v>
      </c>
      <c r="Q499" s="1">
        <f t="shared" si="1"/>
        <v>0</v>
      </c>
    </row>
    <row r="500" ht="15.75" customHeight="1">
      <c r="A500" s="1" t="s">
        <v>1382</v>
      </c>
      <c r="B500" s="2">
        <v>45850.0</v>
      </c>
      <c r="C500" s="1" t="s">
        <v>540</v>
      </c>
      <c r="D500" s="1" t="s">
        <v>1377</v>
      </c>
      <c r="E500" s="1" t="s">
        <v>210</v>
      </c>
      <c r="F500" s="1">
        <v>1588.0</v>
      </c>
      <c r="G500" s="1" t="s">
        <v>1383</v>
      </c>
      <c r="H500" s="1">
        <v>7837.0</v>
      </c>
      <c r="I500" s="1" t="s">
        <v>198</v>
      </c>
      <c r="J500" s="1" t="s">
        <v>28</v>
      </c>
      <c r="K500" s="1">
        <v>-22.369776</v>
      </c>
      <c r="L500" s="1">
        <v>-41.731167</v>
      </c>
      <c r="M500" s="1">
        <v>4.0</v>
      </c>
      <c r="Q500" s="1">
        <f t="shared" si="1"/>
        <v>7837</v>
      </c>
    </row>
    <row r="501" ht="15.75" customHeight="1">
      <c r="A501" s="1" t="s">
        <v>1384</v>
      </c>
      <c r="B501" s="2">
        <v>45867.0</v>
      </c>
      <c r="C501" s="1" t="s">
        <v>1267</v>
      </c>
      <c r="D501" s="1" t="s">
        <v>1385</v>
      </c>
      <c r="E501" s="1" t="s">
        <v>436</v>
      </c>
      <c r="F501" s="1">
        <v>2975.0</v>
      </c>
      <c r="G501" s="1" t="s">
        <v>1386</v>
      </c>
      <c r="H501" s="1">
        <v>12811.0</v>
      </c>
      <c r="I501" s="1" t="s">
        <v>198</v>
      </c>
      <c r="J501" s="1" t="s">
        <v>28</v>
      </c>
      <c r="K501" s="1">
        <v>-22.438279</v>
      </c>
      <c r="L501" s="1">
        <v>-41.727726</v>
      </c>
      <c r="M501" s="1">
        <v>3.0</v>
      </c>
      <c r="Q501" s="1">
        <f t="shared" si="1"/>
        <v>12811</v>
      </c>
    </row>
    <row r="502" ht="15.75" customHeight="1">
      <c r="A502" s="1" t="s">
        <v>1387</v>
      </c>
      <c r="B502" s="2">
        <v>45845.0</v>
      </c>
      <c r="C502" s="1" t="s">
        <v>1341</v>
      </c>
      <c r="D502" s="1" t="s">
        <v>1385</v>
      </c>
      <c r="E502" s="1" t="s">
        <v>185</v>
      </c>
      <c r="F502" s="1">
        <v>3162.0</v>
      </c>
      <c r="G502" s="1" t="s">
        <v>1388</v>
      </c>
      <c r="H502" s="1">
        <v>13329.0</v>
      </c>
      <c r="I502" s="1" t="s">
        <v>198</v>
      </c>
      <c r="J502" s="1" t="s">
        <v>80</v>
      </c>
      <c r="K502" s="1">
        <v>-22.425437</v>
      </c>
      <c r="L502" s="1">
        <v>-41.751566</v>
      </c>
      <c r="M502" s="1">
        <v>3.0</v>
      </c>
      <c r="Q502" s="1">
        <f t="shared" si="1"/>
        <v>13329</v>
      </c>
    </row>
    <row r="503" ht="15.75" customHeight="1">
      <c r="A503" s="1" t="s">
        <v>1389</v>
      </c>
      <c r="B503" s="2">
        <v>45918.0</v>
      </c>
      <c r="C503" s="1" t="s">
        <v>369</v>
      </c>
      <c r="D503" s="1" t="s">
        <v>1385</v>
      </c>
      <c r="E503" s="1" t="s">
        <v>197</v>
      </c>
      <c r="F503" s="1">
        <v>195.0</v>
      </c>
      <c r="G503" s="1" t="s">
        <v>1390</v>
      </c>
      <c r="H503" s="1">
        <v>5552.0</v>
      </c>
      <c r="I503" s="1" t="s">
        <v>21</v>
      </c>
      <c r="J503" s="1" t="s">
        <v>22</v>
      </c>
      <c r="K503" s="1">
        <v>-22.424746</v>
      </c>
      <c r="L503" s="1">
        <v>-41.703349</v>
      </c>
      <c r="M503" s="1">
        <v>4.0</v>
      </c>
      <c r="Q503" s="1">
        <f t="shared" si="1"/>
        <v>0</v>
      </c>
    </row>
    <row r="504" ht="15.75" customHeight="1">
      <c r="A504" s="1" t="s">
        <v>1391</v>
      </c>
      <c r="B504" s="2">
        <v>45918.0</v>
      </c>
      <c r="C504" s="1" t="s">
        <v>30</v>
      </c>
      <c r="D504" s="1" t="s">
        <v>1385</v>
      </c>
      <c r="E504" s="1" t="s">
        <v>32</v>
      </c>
      <c r="F504" s="1">
        <v>1059.0</v>
      </c>
      <c r="G504" s="1" t="s">
        <v>1392</v>
      </c>
      <c r="H504" s="1">
        <v>9559.0</v>
      </c>
      <c r="I504" s="1" t="s">
        <v>21</v>
      </c>
      <c r="J504" s="1" t="s">
        <v>205</v>
      </c>
      <c r="K504" s="1">
        <v>-22.356525</v>
      </c>
      <c r="L504" s="1">
        <v>-41.744936</v>
      </c>
      <c r="M504" s="1">
        <v>3.0</v>
      </c>
      <c r="Q504" s="1">
        <f t="shared" si="1"/>
        <v>0</v>
      </c>
    </row>
    <row r="505" ht="15.75" customHeight="1">
      <c r="A505" s="1" t="s">
        <v>1393</v>
      </c>
      <c r="B505" s="2">
        <v>45710.0</v>
      </c>
      <c r="C505" s="1" t="s">
        <v>369</v>
      </c>
      <c r="D505" s="1" t="s">
        <v>1385</v>
      </c>
      <c r="E505" s="1" t="s">
        <v>197</v>
      </c>
      <c r="F505" s="1">
        <v>195.0</v>
      </c>
      <c r="G505" s="1" t="s">
        <v>1394</v>
      </c>
      <c r="H505" s="1">
        <v>18217.0</v>
      </c>
      <c r="I505" s="1" t="s">
        <v>198</v>
      </c>
      <c r="J505" s="1" t="s">
        <v>205</v>
      </c>
      <c r="K505" s="1">
        <v>-22.390473</v>
      </c>
      <c r="L505" s="1">
        <v>-41.752363</v>
      </c>
      <c r="M505" s="1">
        <v>3.0</v>
      </c>
      <c r="Q505" s="1">
        <f t="shared" si="1"/>
        <v>18217</v>
      </c>
    </row>
    <row r="506" ht="15.75" customHeight="1">
      <c r="A506" s="1" t="s">
        <v>1395</v>
      </c>
      <c r="B506" s="2">
        <v>45783.0</v>
      </c>
      <c r="C506" s="1" t="s">
        <v>1361</v>
      </c>
      <c r="D506" s="1" t="s">
        <v>1396</v>
      </c>
      <c r="E506" s="1" t="s">
        <v>177</v>
      </c>
      <c r="F506" s="1">
        <v>3271.0</v>
      </c>
      <c r="G506" s="1" t="s">
        <v>1397</v>
      </c>
      <c r="H506" s="1">
        <v>7573.0</v>
      </c>
      <c r="I506" s="1" t="s">
        <v>21</v>
      </c>
      <c r="J506" s="1" t="s">
        <v>40</v>
      </c>
      <c r="K506" s="1">
        <v>-22.445897</v>
      </c>
      <c r="L506" s="1">
        <v>-41.792972</v>
      </c>
      <c r="M506" s="1">
        <v>2.0</v>
      </c>
      <c r="Q506" s="1">
        <f t="shared" si="1"/>
        <v>0</v>
      </c>
    </row>
    <row r="507" ht="15.75" customHeight="1">
      <c r="A507" s="1" t="s">
        <v>1398</v>
      </c>
      <c r="B507" s="2">
        <v>46091.0</v>
      </c>
      <c r="C507" s="1" t="s">
        <v>1399</v>
      </c>
      <c r="D507" s="1" t="s">
        <v>1396</v>
      </c>
      <c r="E507" s="1" t="s">
        <v>291</v>
      </c>
      <c r="F507" s="1">
        <v>194.0</v>
      </c>
      <c r="G507" s="1" t="s">
        <v>1400</v>
      </c>
      <c r="H507" s="1">
        <v>6474.0</v>
      </c>
      <c r="I507" s="1" t="s">
        <v>21</v>
      </c>
      <c r="J507" s="1" t="s">
        <v>40</v>
      </c>
      <c r="K507" s="1">
        <v>-22.360869</v>
      </c>
      <c r="L507" s="1">
        <v>-41.743343</v>
      </c>
      <c r="M507" s="1">
        <v>1.0</v>
      </c>
      <c r="Q507" s="1">
        <f t="shared" si="1"/>
        <v>0</v>
      </c>
    </row>
    <row r="508" ht="15.75" customHeight="1">
      <c r="A508" s="1" t="s">
        <v>1401</v>
      </c>
      <c r="B508" s="2">
        <v>45949.0</v>
      </c>
      <c r="C508" s="1" t="s">
        <v>1278</v>
      </c>
      <c r="D508" s="1" t="s">
        <v>1402</v>
      </c>
      <c r="E508" s="1" t="s">
        <v>104</v>
      </c>
      <c r="F508" s="1">
        <v>1136.0</v>
      </c>
      <c r="G508" s="1" t="s">
        <v>64</v>
      </c>
      <c r="H508" s="1">
        <v>2272.0</v>
      </c>
      <c r="I508" s="1" t="s">
        <v>198</v>
      </c>
      <c r="J508" s="1" t="s">
        <v>34</v>
      </c>
      <c r="K508" s="1">
        <v>-22.426951</v>
      </c>
      <c r="L508" s="1">
        <v>-41.738169</v>
      </c>
      <c r="M508" s="1">
        <v>3.0</v>
      </c>
      <c r="Q508" s="1">
        <f t="shared" si="1"/>
        <v>2272</v>
      </c>
    </row>
    <row r="509" ht="15.75" customHeight="1">
      <c r="A509" s="1" t="s">
        <v>1403</v>
      </c>
      <c r="B509" s="2">
        <v>45813.0</v>
      </c>
      <c r="C509" s="1" t="s">
        <v>644</v>
      </c>
      <c r="D509" s="1" t="s">
        <v>1402</v>
      </c>
      <c r="E509" s="1" t="s">
        <v>115</v>
      </c>
      <c r="F509" s="1">
        <v>5506.0</v>
      </c>
      <c r="G509" s="1" t="s">
        <v>1404</v>
      </c>
      <c r="H509" s="1">
        <v>7701.0</v>
      </c>
      <c r="I509" s="1" t="s">
        <v>21</v>
      </c>
      <c r="J509" s="1" t="s">
        <v>80</v>
      </c>
      <c r="K509" s="1">
        <v>-22.373765</v>
      </c>
      <c r="L509" s="1">
        <v>-41.782816</v>
      </c>
      <c r="M509" s="1">
        <v>0.0</v>
      </c>
      <c r="Q509" s="1">
        <f t="shared" si="1"/>
        <v>0</v>
      </c>
    </row>
    <row r="510" ht="15.75" customHeight="1">
      <c r="A510" s="1" t="s">
        <v>1405</v>
      </c>
      <c r="B510" s="2">
        <v>45822.0</v>
      </c>
      <c r="C510" s="1" t="s">
        <v>1361</v>
      </c>
      <c r="D510" s="1" t="s">
        <v>1406</v>
      </c>
      <c r="E510" s="1" t="s">
        <v>177</v>
      </c>
      <c r="F510" s="1">
        <v>3271.0</v>
      </c>
      <c r="G510" s="1" t="s">
        <v>32</v>
      </c>
      <c r="H510" s="1">
        <v>4330.0</v>
      </c>
      <c r="I510" s="1" t="s">
        <v>21</v>
      </c>
      <c r="J510" s="1" t="s">
        <v>86</v>
      </c>
      <c r="K510" s="1">
        <v>-22.369045</v>
      </c>
      <c r="L510" s="1">
        <v>-41.787544</v>
      </c>
      <c r="M510" s="1">
        <v>0.0</v>
      </c>
      <c r="Q510" s="1">
        <f t="shared" si="1"/>
        <v>0</v>
      </c>
    </row>
    <row r="511" ht="15.75" customHeight="1">
      <c r="A511" s="1" t="s">
        <v>1407</v>
      </c>
      <c r="B511" s="2">
        <v>45827.0</v>
      </c>
      <c r="C511" s="1" t="s">
        <v>1408</v>
      </c>
      <c r="D511" s="1" t="s">
        <v>1406</v>
      </c>
      <c r="E511" s="1" t="s">
        <v>33</v>
      </c>
      <c r="F511" s="1">
        <v>821.0</v>
      </c>
      <c r="G511" s="1" t="s">
        <v>1409</v>
      </c>
      <c r="H511" s="1">
        <v>4818.0</v>
      </c>
      <c r="I511" s="1" t="s">
        <v>198</v>
      </c>
      <c r="J511" s="1" t="s">
        <v>34</v>
      </c>
      <c r="K511" s="1">
        <v>-22.422053</v>
      </c>
      <c r="L511" s="1">
        <v>-41.799683</v>
      </c>
      <c r="M511" s="1">
        <v>1.0</v>
      </c>
      <c r="Q511" s="1">
        <f t="shared" si="1"/>
        <v>4818</v>
      </c>
    </row>
    <row r="512" ht="15.75" customHeight="1">
      <c r="A512" s="1" t="s">
        <v>1410</v>
      </c>
      <c r="B512" s="2">
        <v>46114.0</v>
      </c>
      <c r="C512" s="1" t="s">
        <v>1411</v>
      </c>
      <c r="D512" s="1" t="s">
        <v>1412</v>
      </c>
      <c r="E512" s="1" t="s">
        <v>409</v>
      </c>
      <c r="F512" s="1">
        <v>1136.0</v>
      </c>
      <c r="G512" s="1" t="s">
        <v>308</v>
      </c>
      <c r="H512" s="1">
        <v>16183.0</v>
      </c>
      <c r="I512" s="1" t="s">
        <v>198</v>
      </c>
      <c r="J512" s="1" t="s">
        <v>34</v>
      </c>
      <c r="K512" s="1">
        <v>-22.439963</v>
      </c>
      <c r="L512" s="1">
        <v>-41.7918</v>
      </c>
      <c r="M512" s="1">
        <v>1.0</v>
      </c>
      <c r="Q512" s="1">
        <f t="shared" si="1"/>
        <v>16183</v>
      </c>
    </row>
    <row r="513" ht="15.75" customHeight="1">
      <c r="A513" s="1" t="s">
        <v>1413</v>
      </c>
      <c r="B513" s="2">
        <v>45681.0</v>
      </c>
      <c r="C513" s="1" t="s">
        <v>638</v>
      </c>
      <c r="D513" s="1" t="s">
        <v>1414</v>
      </c>
      <c r="E513" s="1" t="s">
        <v>392</v>
      </c>
      <c r="F513" s="1">
        <v>2512.0</v>
      </c>
      <c r="G513" s="1" t="s">
        <v>1415</v>
      </c>
      <c r="H513" s="1">
        <v>7842.0</v>
      </c>
      <c r="I513" s="1" t="s">
        <v>198</v>
      </c>
      <c r="J513" s="1" t="s">
        <v>86</v>
      </c>
      <c r="K513" s="1">
        <v>-22.429487</v>
      </c>
      <c r="L513" s="1">
        <v>-41.732669</v>
      </c>
      <c r="M513" s="1">
        <v>4.0</v>
      </c>
      <c r="Q513" s="1">
        <f t="shared" si="1"/>
        <v>7842</v>
      </c>
    </row>
    <row r="514" ht="15.75" customHeight="1">
      <c r="A514" s="1" t="s">
        <v>1416</v>
      </c>
      <c r="B514" s="2">
        <v>46055.0</v>
      </c>
      <c r="C514" s="1" t="s">
        <v>375</v>
      </c>
      <c r="D514" s="1" t="s">
        <v>1417</v>
      </c>
      <c r="E514" s="1" t="s">
        <v>130</v>
      </c>
      <c r="F514" s="1">
        <v>13257.0</v>
      </c>
      <c r="G514" s="1" t="s">
        <v>1418</v>
      </c>
      <c r="H514" s="1">
        <v>26253.0</v>
      </c>
      <c r="I514" s="1" t="s">
        <v>198</v>
      </c>
      <c r="J514" s="1" t="s">
        <v>34</v>
      </c>
      <c r="K514" s="1">
        <v>-22.412704</v>
      </c>
      <c r="L514" s="1">
        <v>-41.729654</v>
      </c>
      <c r="M514" s="1">
        <v>3.0</v>
      </c>
      <c r="Q514" s="1">
        <f t="shared" si="1"/>
        <v>26253</v>
      </c>
    </row>
    <row r="515" ht="15.75" customHeight="1">
      <c r="A515" s="1" t="s">
        <v>1419</v>
      </c>
      <c r="B515" s="2">
        <v>45881.0</v>
      </c>
      <c r="C515" s="1" t="s">
        <v>750</v>
      </c>
      <c r="D515" s="1" t="s">
        <v>1420</v>
      </c>
      <c r="E515" s="1" t="s">
        <v>95</v>
      </c>
      <c r="F515" s="1">
        <v>1588.0</v>
      </c>
      <c r="G515" s="1" t="s">
        <v>1421</v>
      </c>
      <c r="H515" s="1">
        <v>10820.0</v>
      </c>
      <c r="I515" s="1" t="s">
        <v>21</v>
      </c>
      <c r="J515" s="1" t="s">
        <v>80</v>
      </c>
      <c r="K515" s="1">
        <v>-22.40949</v>
      </c>
      <c r="L515" s="1">
        <v>-41.775123</v>
      </c>
      <c r="M515" s="1">
        <v>2.0</v>
      </c>
      <c r="Q515" s="1">
        <f t="shared" si="1"/>
        <v>0</v>
      </c>
    </row>
    <row r="516" ht="15.75" customHeight="1">
      <c r="A516" s="1" t="s">
        <v>1422</v>
      </c>
      <c r="B516" s="2">
        <v>45682.0</v>
      </c>
      <c r="C516" s="1" t="s">
        <v>985</v>
      </c>
      <c r="D516" s="1" t="s">
        <v>1423</v>
      </c>
      <c r="E516" s="1" t="s">
        <v>185</v>
      </c>
      <c r="F516" s="1">
        <v>3162.0</v>
      </c>
      <c r="G516" s="1" t="s">
        <v>504</v>
      </c>
      <c r="H516" s="1">
        <v>4298.0</v>
      </c>
      <c r="I516" s="1" t="s">
        <v>198</v>
      </c>
      <c r="J516" s="1" t="s">
        <v>34</v>
      </c>
      <c r="K516" s="1">
        <v>-22.385452</v>
      </c>
      <c r="L516" s="1">
        <v>-41.793531</v>
      </c>
      <c r="M516" s="1">
        <v>4.0</v>
      </c>
      <c r="Q516" s="1">
        <f t="shared" si="1"/>
        <v>4298</v>
      </c>
    </row>
    <row r="517" ht="15.75" customHeight="1">
      <c r="A517" s="1" t="s">
        <v>1424</v>
      </c>
      <c r="B517" s="2">
        <v>46048.0</v>
      </c>
      <c r="C517" s="1" t="s">
        <v>1024</v>
      </c>
      <c r="D517" s="1" t="s">
        <v>1423</v>
      </c>
      <c r="E517" s="1" t="s">
        <v>19</v>
      </c>
      <c r="F517" s="1">
        <v>1136.0</v>
      </c>
      <c r="G517" s="1" t="s">
        <v>1425</v>
      </c>
      <c r="H517" s="1">
        <v>4514.0</v>
      </c>
      <c r="I517" s="1" t="s">
        <v>198</v>
      </c>
      <c r="J517" s="1" t="s">
        <v>205</v>
      </c>
      <c r="K517" s="1">
        <v>-22.406371</v>
      </c>
      <c r="L517" s="1">
        <v>-41.755467</v>
      </c>
      <c r="M517" s="1">
        <v>0.0</v>
      </c>
      <c r="Q517" s="1">
        <f t="shared" si="1"/>
        <v>4514</v>
      </c>
    </row>
    <row r="518" ht="15.75" customHeight="1">
      <c r="A518" s="1" t="s">
        <v>1426</v>
      </c>
      <c r="B518" s="2">
        <v>46014.0</v>
      </c>
      <c r="C518" s="1" t="s">
        <v>134</v>
      </c>
      <c r="D518" s="1" t="s">
        <v>1427</v>
      </c>
      <c r="E518" s="1" t="s">
        <v>130</v>
      </c>
      <c r="F518" s="1">
        <v>13257.0</v>
      </c>
      <c r="G518" s="1" t="s">
        <v>392</v>
      </c>
      <c r="H518" s="1">
        <v>15769.0</v>
      </c>
      <c r="I518" s="1" t="s">
        <v>198</v>
      </c>
      <c r="J518" s="1" t="s">
        <v>86</v>
      </c>
      <c r="K518" s="1">
        <v>-22.413341</v>
      </c>
      <c r="L518" s="1">
        <v>-41.70029</v>
      </c>
      <c r="M518" s="1">
        <v>1.0</v>
      </c>
      <c r="Q518" s="1">
        <f t="shared" si="1"/>
        <v>15769</v>
      </c>
    </row>
    <row r="519" ht="15.75" customHeight="1">
      <c r="A519" s="1" t="s">
        <v>1428</v>
      </c>
      <c r="B519" s="2">
        <v>45858.0</v>
      </c>
      <c r="C519" s="1" t="s">
        <v>282</v>
      </c>
      <c r="D519" s="1" t="s">
        <v>1427</v>
      </c>
      <c r="E519" s="1" t="s">
        <v>45</v>
      </c>
      <c r="F519" s="1">
        <v>3162.0</v>
      </c>
      <c r="G519" s="1" t="s">
        <v>69</v>
      </c>
      <c r="H519" s="1">
        <v>7987.0</v>
      </c>
      <c r="I519" s="1" t="s">
        <v>21</v>
      </c>
      <c r="J519" s="1" t="s">
        <v>51</v>
      </c>
      <c r="K519" s="1">
        <v>-22.413543</v>
      </c>
      <c r="L519" s="1">
        <v>-41.723929</v>
      </c>
      <c r="M519" s="1">
        <v>0.0</v>
      </c>
      <c r="Q519" s="1">
        <f t="shared" si="1"/>
        <v>0</v>
      </c>
    </row>
    <row r="520" ht="15.75" customHeight="1">
      <c r="A520" s="1" t="s">
        <v>1429</v>
      </c>
      <c r="B520" s="2">
        <v>45914.0</v>
      </c>
      <c r="C520" s="1" t="s">
        <v>548</v>
      </c>
      <c r="D520" s="1" t="s">
        <v>1427</v>
      </c>
      <c r="E520" s="1" t="s">
        <v>84</v>
      </c>
      <c r="F520" s="1">
        <v>9435.0</v>
      </c>
      <c r="G520" s="1" t="s">
        <v>1430</v>
      </c>
      <c r="H520" s="1">
        <v>15060.0</v>
      </c>
      <c r="I520" s="1" t="s">
        <v>21</v>
      </c>
      <c r="J520" s="1" t="s">
        <v>86</v>
      </c>
      <c r="K520" s="1">
        <v>-22.40469</v>
      </c>
      <c r="L520" s="1">
        <v>-41.770685</v>
      </c>
      <c r="M520" s="1">
        <v>0.0</v>
      </c>
      <c r="Q520" s="1">
        <f t="shared" si="1"/>
        <v>0</v>
      </c>
    </row>
    <row r="521" ht="15.75" customHeight="1">
      <c r="A521" s="1" t="s">
        <v>1431</v>
      </c>
      <c r="B521" s="2">
        <v>45977.0</v>
      </c>
      <c r="C521" s="1" t="s">
        <v>1432</v>
      </c>
      <c r="D521" s="1" t="s">
        <v>1433</v>
      </c>
      <c r="E521" s="1" t="s">
        <v>130</v>
      </c>
      <c r="F521" s="1">
        <v>13257.0</v>
      </c>
      <c r="G521" s="1" t="s">
        <v>1434</v>
      </c>
      <c r="H521" s="1">
        <v>17301.0</v>
      </c>
      <c r="I521" s="1" t="s">
        <v>198</v>
      </c>
      <c r="J521" s="1" t="s">
        <v>22</v>
      </c>
      <c r="K521" s="1">
        <v>-22.426818</v>
      </c>
      <c r="L521" s="1">
        <v>-41.790773</v>
      </c>
      <c r="M521" s="1">
        <v>1.0</v>
      </c>
      <c r="Q521" s="1">
        <f t="shared" si="1"/>
        <v>17301</v>
      </c>
    </row>
    <row r="522" ht="15.75" customHeight="1">
      <c r="A522" s="1" t="s">
        <v>1435</v>
      </c>
      <c r="B522" s="2">
        <v>46091.0</v>
      </c>
      <c r="C522" s="1" t="s">
        <v>1436</v>
      </c>
      <c r="D522" s="1" t="s">
        <v>1433</v>
      </c>
      <c r="E522" s="1" t="s">
        <v>90</v>
      </c>
      <c r="F522" s="1">
        <v>9435.0</v>
      </c>
      <c r="G522" s="1" t="s">
        <v>1437</v>
      </c>
      <c r="H522" s="1">
        <v>26803.0</v>
      </c>
      <c r="I522" s="1" t="s">
        <v>198</v>
      </c>
      <c r="J522" s="1" t="s">
        <v>34</v>
      </c>
      <c r="K522" s="1">
        <v>-22.448282</v>
      </c>
      <c r="L522" s="1">
        <v>-41.703866</v>
      </c>
      <c r="M522" s="1">
        <v>1.0</v>
      </c>
      <c r="Q522" s="1">
        <f t="shared" si="1"/>
        <v>26803</v>
      </c>
    </row>
    <row r="523" ht="15.75" customHeight="1">
      <c r="A523" s="1" t="s">
        <v>1438</v>
      </c>
      <c r="B523" s="2">
        <v>45785.0</v>
      </c>
      <c r="C523" s="1" t="s">
        <v>462</v>
      </c>
      <c r="D523" s="1" t="s">
        <v>1439</v>
      </c>
      <c r="E523" s="1" t="s">
        <v>95</v>
      </c>
      <c r="F523" s="1">
        <v>1588.0</v>
      </c>
      <c r="G523" s="1" t="s">
        <v>1440</v>
      </c>
      <c r="H523" s="1">
        <v>9341.0</v>
      </c>
      <c r="I523" s="1" t="s">
        <v>21</v>
      </c>
      <c r="J523" s="1" t="s">
        <v>80</v>
      </c>
      <c r="K523" s="1">
        <v>-22.377679</v>
      </c>
      <c r="L523" s="1">
        <v>-41.784728</v>
      </c>
      <c r="M523" s="1">
        <v>3.0</v>
      </c>
      <c r="Q523" s="1">
        <f t="shared" si="1"/>
        <v>0</v>
      </c>
    </row>
    <row r="524" ht="15.75" customHeight="1">
      <c r="A524" s="1" t="s">
        <v>1441</v>
      </c>
      <c r="B524" s="2">
        <v>45833.0</v>
      </c>
      <c r="C524" s="1" t="s">
        <v>1442</v>
      </c>
      <c r="D524" s="1" t="s">
        <v>1443</v>
      </c>
      <c r="E524" s="1" t="s">
        <v>60</v>
      </c>
      <c r="F524" s="1">
        <v>2456.0</v>
      </c>
      <c r="G524" s="1" t="s">
        <v>104</v>
      </c>
      <c r="H524" s="1">
        <v>3592.0</v>
      </c>
      <c r="I524" s="1" t="s">
        <v>198</v>
      </c>
      <c r="J524" s="1" t="s">
        <v>40</v>
      </c>
      <c r="K524" s="1">
        <v>-22.399909</v>
      </c>
      <c r="L524" s="1">
        <v>-41.710516</v>
      </c>
      <c r="M524" s="1">
        <v>2.0</v>
      </c>
      <c r="Q524" s="1">
        <f t="shared" si="1"/>
        <v>3592</v>
      </c>
    </row>
    <row r="525" ht="15.75" customHeight="1">
      <c r="A525" s="1" t="s">
        <v>1444</v>
      </c>
      <c r="B525" s="2">
        <v>46138.0</v>
      </c>
      <c r="C525" s="1" t="s">
        <v>1138</v>
      </c>
      <c r="D525" s="1" t="s">
        <v>1445</v>
      </c>
      <c r="E525" s="1" t="s">
        <v>504</v>
      </c>
      <c r="F525" s="1">
        <v>1136.0</v>
      </c>
      <c r="G525" s="1" t="s">
        <v>69</v>
      </c>
      <c r="H525" s="1">
        <v>5961.0</v>
      </c>
      <c r="I525" s="1" t="s">
        <v>21</v>
      </c>
      <c r="J525" s="1" t="s">
        <v>28</v>
      </c>
      <c r="K525" s="1">
        <v>-22.425807</v>
      </c>
      <c r="L525" s="1">
        <v>-41.739103</v>
      </c>
      <c r="M525" s="1">
        <v>1.0</v>
      </c>
      <c r="Q525" s="1">
        <f t="shared" si="1"/>
        <v>0</v>
      </c>
    </row>
    <row r="526" ht="15.75" customHeight="1">
      <c r="A526" s="1" t="s">
        <v>1446</v>
      </c>
      <c r="B526" s="2">
        <v>45837.0</v>
      </c>
      <c r="C526" s="1" t="s">
        <v>1298</v>
      </c>
      <c r="D526" s="1" t="s">
        <v>1445</v>
      </c>
      <c r="E526" s="1" t="s">
        <v>136</v>
      </c>
      <c r="F526" s="1">
        <v>1588.0</v>
      </c>
      <c r="G526" s="1" t="s">
        <v>1447</v>
      </c>
      <c r="H526" s="1">
        <v>5766.0</v>
      </c>
      <c r="I526" s="1" t="s">
        <v>198</v>
      </c>
      <c r="J526" s="1" t="s">
        <v>34</v>
      </c>
      <c r="K526" s="1">
        <v>-22.433791</v>
      </c>
      <c r="L526" s="1">
        <v>-41.739399</v>
      </c>
      <c r="M526" s="1">
        <v>0.0</v>
      </c>
      <c r="Q526" s="1">
        <f t="shared" si="1"/>
        <v>5766</v>
      </c>
    </row>
    <row r="527" ht="15.75" customHeight="1">
      <c r="A527" s="1" t="s">
        <v>1448</v>
      </c>
      <c r="B527" s="2">
        <v>45658.0</v>
      </c>
      <c r="C527" s="1" t="s">
        <v>516</v>
      </c>
      <c r="D527" s="1" t="s">
        <v>1445</v>
      </c>
      <c r="E527" s="1" t="s">
        <v>297</v>
      </c>
      <c r="F527" s="1">
        <v>1136.0</v>
      </c>
      <c r="G527" s="1" t="s">
        <v>504</v>
      </c>
      <c r="H527" s="1">
        <v>2272.0</v>
      </c>
      <c r="I527" s="1" t="s">
        <v>21</v>
      </c>
      <c r="J527" s="1" t="s">
        <v>205</v>
      </c>
      <c r="K527" s="1">
        <v>-22.397111</v>
      </c>
      <c r="L527" s="1">
        <v>-41.751004</v>
      </c>
      <c r="M527" s="1">
        <v>2.0</v>
      </c>
      <c r="Q527" s="1">
        <f t="shared" si="1"/>
        <v>0</v>
      </c>
    </row>
    <row r="528" ht="15.75" customHeight="1">
      <c r="A528" s="1" t="s">
        <v>1449</v>
      </c>
      <c r="B528" s="2">
        <v>46020.0</v>
      </c>
      <c r="C528" s="1" t="s">
        <v>1450</v>
      </c>
      <c r="D528" s="1" t="s">
        <v>1451</v>
      </c>
      <c r="E528" s="1" t="s">
        <v>504</v>
      </c>
      <c r="F528" s="1">
        <v>1136.0</v>
      </c>
      <c r="G528" s="1" t="s">
        <v>1452</v>
      </c>
      <c r="H528" s="1">
        <v>3783.0</v>
      </c>
      <c r="I528" s="1" t="s">
        <v>198</v>
      </c>
      <c r="J528" s="1" t="s">
        <v>51</v>
      </c>
      <c r="K528" s="1">
        <v>-22.374837</v>
      </c>
      <c r="L528" s="1">
        <v>-41.747653</v>
      </c>
      <c r="M528" s="1">
        <v>4.0</v>
      </c>
      <c r="Q528" s="1">
        <f t="shared" si="1"/>
        <v>3783</v>
      </c>
    </row>
    <row r="529" ht="15.75" customHeight="1">
      <c r="A529" s="1" t="s">
        <v>1453</v>
      </c>
      <c r="B529" s="2">
        <v>45787.0</v>
      </c>
      <c r="C529" s="1" t="s">
        <v>1454</v>
      </c>
      <c r="D529" s="1" t="s">
        <v>1455</v>
      </c>
      <c r="E529" s="1" t="s">
        <v>210</v>
      </c>
      <c r="F529" s="1">
        <v>1588.0</v>
      </c>
      <c r="G529" s="1" t="s">
        <v>305</v>
      </c>
      <c r="H529" s="1">
        <v>3647.0</v>
      </c>
      <c r="I529" s="1" t="s">
        <v>198</v>
      </c>
      <c r="J529" s="1" t="s">
        <v>34</v>
      </c>
      <c r="K529" s="1">
        <v>-22.442658</v>
      </c>
      <c r="L529" s="1">
        <v>-41.700529</v>
      </c>
      <c r="M529" s="1">
        <v>0.0</v>
      </c>
      <c r="Q529" s="1">
        <f t="shared" si="1"/>
        <v>3647</v>
      </c>
    </row>
    <row r="530" ht="15.75" customHeight="1">
      <c r="A530" s="1" t="s">
        <v>1456</v>
      </c>
      <c r="B530" s="2">
        <v>46049.0</v>
      </c>
      <c r="C530" s="1" t="s">
        <v>1457</v>
      </c>
      <c r="D530" s="1" t="s">
        <v>1455</v>
      </c>
      <c r="E530" s="1" t="s">
        <v>26</v>
      </c>
      <c r="F530" s="1">
        <v>13257.0</v>
      </c>
      <c r="G530" s="1" t="s">
        <v>70</v>
      </c>
      <c r="H530" s="1">
        <v>17097.0</v>
      </c>
      <c r="I530" s="1" t="s">
        <v>198</v>
      </c>
      <c r="J530" s="1" t="s">
        <v>86</v>
      </c>
      <c r="K530" s="1">
        <v>-22.412638</v>
      </c>
      <c r="L530" s="1">
        <v>-41.768545</v>
      </c>
      <c r="M530" s="1">
        <v>3.0</v>
      </c>
      <c r="Q530" s="1">
        <f t="shared" si="1"/>
        <v>17097</v>
      </c>
    </row>
    <row r="531" ht="15.75" customHeight="1">
      <c r="A531" s="1" t="s">
        <v>1458</v>
      </c>
      <c r="B531" s="2">
        <v>45808.0</v>
      </c>
      <c r="C531" s="1" t="s">
        <v>1267</v>
      </c>
      <c r="D531" s="1" t="s">
        <v>1459</v>
      </c>
      <c r="E531" s="1" t="s">
        <v>436</v>
      </c>
      <c r="F531" s="1">
        <v>2975.0</v>
      </c>
      <c r="G531" s="1" t="s">
        <v>290</v>
      </c>
      <c r="H531" s="1">
        <v>4563.0</v>
      </c>
      <c r="I531" s="1" t="s">
        <v>198</v>
      </c>
      <c r="J531" s="1" t="s">
        <v>28</v>
      </c>
      <c r="K531" s="1">
        <v>-22.385093</v>
      </c>
      <c r="L531" s="1">
        <v>-41.769803</v>
      </c>
      <c r="M531" s="1">
        <v>3.0</v>
      </c>
      <c r="Q531" s="1">
        <f t="shared" si="1"/>
        <v>4563</v>
      </c>
    </row>
    <row r="532" ht="15.75" customHeight="1">
      <c r="A532" s="1" t="s">
        <v>1460</v>
      </c>
      <c r="B532" s="2">
        <v>46107.0</v>
      </c>
      <c r="C532" s="1" t="s">
        <v>1461</v>
      </c>
      <c r="D532" s="1" t="s">
        <v>1462</v>
      </c>
      <c r="E532" s="1" t="s">
        <v>33</v>
      </c>
      <c r="F532" s="1">
        <v>821.0</v>
      </c>
      <c r="G532" s="1" t="s">
        <v>19</v>
      </c>
      <c r="H532" s="1">
        <v>1957.0</v>
      </c>
      <c r="I532" s="1" t="s">
        <v>21</v>
      </c>
      <c r="J532" s="1" t="s">
        <v>205</v>
      </c>
      <c r="K532" s="1">
        <v>-22.410076</v>
      </c>
      <c r="L532" s="1">
        <v>-41.728711</v>
      </c>
      <c r="M532" s="1">
        <v>2.0</v>
      </c>
      <c r="Q532" s="1">
        <f t="shared" si="1"/>
        <v>0</v>
      </c>
    </row>
    <row r="533" ht="15.75" customHeight="1">
      <c r="A533" s="1" t="s">
        <v>1463</v>
      </c>
      <c r="B533" s="2">
        <v>46083.0</v>
      </c>
      <c r="C533" s="1" t="s">
        <v>1464</v>
      </c>
      <c r="D533" s="1" t="s">
        <v>1462</v>
      </c>
      <c r="E533" s="1" t="s">
        <v>136</v>
      </c>
      <c r="F533" s="1">
        <v>1588.0</v>
      </c>
      <c r="G533" s="1" t="s">
        <v>45</v>
      </c>
      <c r="H533" s="1">
        <v>4750.0</v>
      </c>
      <c r="I533" s="1" t="s">
        <v>21</v>
      </c>
      <c r="J533" s="1" t="s">
        <v>34</v>
      </c>
      <c r="K533" s="1">
        <v>-22.355227</v>
      </c>
      <c r="L533" s="1">
        <v>-41.710296</v>
      </c>
      <c r="M533" s="1">
        <v>0.0</v>
      </c>
      <c r="Q533" s="1">
        <f t="shared" si="1"/>
        <v>0</v>
      </c>
    </row>
    <row r="534" ht="15.75" customHeight="1">
      <c r="A534" s="1" t="s">
        <v>1465</v>
      </c>
      <c r="B534" s="2">
        <v>46134.0</v>
      </c>
      <c r="C534" s="1" t="s">
        <v>1466</v>
      </c>
      <c r="D534" s="1" t="s">
        <v>1462</v>
      </c>
      <c r="E534" s="1" t="s">
        <v>291</v>
      </c>
      <c r="F534" s="1">
        <v>194.0</v>
      </c>
      <c r="G534" s="1" t="s">
        <v>1467</v>
      </c>
      <c r="H534" s="1">
        <v>12900.0</v>
      </c>
      <c r="I534" s="1" t="s">
        <v>198</v>
      </c>
      <c r="J534" s="1" t="s">
        <v>51</v>
      </c>
      <c r="K534" s="1">
        <v>-22.442188</v>
      </c>
      <c r="L534" s="1">
        <v>-41.770605</v>
      </c>
      <c r="M534" s="1">
        <v>3.0</v>
      </c>
      <c r="Q534" s="1">
        <f t="shared" si="1"/>
        <v>12900</v>
      </c>
    </row>
    <row r="535" ht="15.75" customHeight="1">
      <c r="A535" s="1" t="s">
        <v>1468</v>
      </c>
      <c r="B535" s="2">
        <v>45997.0</v>
      </c>
      <c r="C535" s="1" t="s">
        <v>1155</v>
      </c>
      <c r="D535" s="1" t="s">
        <v>1462</v>
      </c>
      <c r="E535" s="1" t="s">
        <v>50</v>
      </c>
      <c r="F535" s="1">
        <v>1588.0</v>
      </c>
      <c r="G535" s="1" t="s">
        <v>1469</v>
      </c>
      <c r="H535" s="1">
        <v>13250.0</v>
      </c>
      <c r="I535" s="1" t="s">
        <v>198</v>
      </c>
      <c r="J535" s="1" t="s">
        <v>86</v>
      </c>
      <c r="K535" s="1">
        <v>-22.357801</v>
      </c>
      <c r="L535" s="1">
        <v>-41.783405</v>
      </c>
      <c r="M535" s="1">
        <v>1.0</v>
      </c>
      <c r="Q535" s="1">
        <f t="shared" si="1"/>
        <v>13250</v>
      </c>
    </row>
    <row r="536" ht="15.75" customHeight="1">
      <c r="A536" s="1" t="s">
        <v>1470</v>
      </c>
      <c r="B536" s="2">
        <v>45719.0</v>
      </c>
      <c r="C536" s="1" t="s">
        <v>961</v>
      </c>
      <c r="D536" s="1" t="s">
        <v>1471</v>
      </c>
      <c r="E536" s="1" t="s">
        <v>291</v>
      </c>
      <c r="F536" s="1">
        <v>194.0</v>
      </c>
      <c r="G536" s="1" t="s">
        <v>115</v>
      </c>
      <c r="H536" s="1">
        <v>5700.0</v>
      </c>
      <c r="I536" s="1" t="s">
        <v>198</v>
      </c>
      <c r="J536" s="1" t="s">
        <v>34</v>
      </c>
      <c r="K536" s="1">
        <v>-22.386933</v>
      </c>
      <c r="L536" s="1">
        <v>-41.762873</v>
      </c>
      <c r="M536" s="1">
        <v>0.0</v>
      </c>
      <c r="Q536" s="1">
        <f t="shared" si="1"/>
        <v>5700</v>
      </c>
    </row>
    <row r="537" ht="15.75" customHeight="1">
      <c r="A537" s="1" t="s">
        <v>1472</v>
      </c>
      <c r="B537" s="2">
        <v>46013.0</v>
      </c>
      <c r="C537" s="1" t="s">
        <v>638</v>
      </c>
      <c r="D537" s="1" t="s">
        <v>1473</v>
      </c>
      <c r="E537" s="1" t="s">
        <v>392</v>
      </c>
      <c r="F537" s="1">
        <v>2512.0</v>
      </c>
      <c r="G537" s="1" t="s">
        <v>1123</v>
      </c>
      <c r="H537" s="1">
        <v>9327.0</v>
      </c>
      <c r="I537" s="1" t="s">
        <v>198</v>
      </c>
      <c r="J537" s="1" t="s">
        <v>80</v>
      </c>
      <c r="K537" s="1">
        <v>-22.421507</v>
      </c>
      <c r="L537" s="1">
        <v>-41.794908</v>
      </c>
      <c r="M537" s="1">
        <v>4.0</v>
      </c>
      <c r="Q537" s="1">
        <f t="shared" si="1"/>
        <v>9327</v>
      </c>
    </row>
    <row r="538" ht="15.75" customHeight="1">
      <c r="A538" s="1" t="s">
        <v>1474</v>
      </c>
      <c r="B538" s="2">
        <v>45695.0</v>
      </c>
      <c r="C538" s="1" t="s">
        <v>772</v>
      </c>
      <c r="D538" s="1" t="s">
        <v>1475</v>
      </c>
      <c r="E538" s="1" t="s">
        <v>305</v>
      </c>
      <c r="F538" s="1">
        <v>2059.0</v>
      </c>
      <c r="G538" s="1" t="s">
        <v>1476</v>
      </c>
      <c r="H538" s="1">
        <v>7278.0</v>
      </c>
      <c r="I538" s="1" t="s">
        <v>198</v>
      </c>
      <c r="J538" s="1" t="s">
        <v>22</v>
      </c>
      <c r="K538" s="1">
        <v>-22.350136</v>
      </c>
      <c r="L538" s="1">
        <v>-41.784667</v>
      </c>
      <c r="M538" s="1">
        <v>4.0</v>
      </c>
      <c r="Q538" s="1">
        <f t="shared" si="1"/>
        <v>7278</v>
      </c>
    </row>
    <row r="539" ht="15.75" customHeight="1">
      <c r="A539" s="1" t="s">
        <v>1477</v>
      </c>
      <c r="B539" s="2">
        <v>45805.0</v>
      </c>
      <c r="C539" s="1" t="s">
        <v>1361</v>
      </c>
      <c r="D539" s="1" t="s">
        <v>1478</v>
      </c>
      <c r="E539" s="1" t="s">
        <v>177</v>
      </c>
      <c r="F539" s="1">
        <v>3271.0</v>
      </c>
      <c r="G539" s="1" t="s">
        <v>1479</v>
      </c>
      <c r="H539" s="1">
        <v>6604.0</v>
      </c>
      <c r="I539" s="1" t="s">
        <v>198</v>
      </c>
      <c r="J539" s="1" t="s">
        <v>34</v>
      </c>
      <c r="K539" s="1">
        <v>-22.440681</v>
      </c>
      <c r="L539" s="1">
        <v>-41.761611</v>
      </c>
      <c r="M539" s="1">
        <v>1.0</v>
      </c>
      <c r="Q539" s="1">
        <f t="shared" si="1"/>
        <v>6604</v>
      </c>
    </row>
    <row r="540" ht="15.75" customHeight="1">
      <c r="A540" s="1" t="s">
        <v>1480</v>
      </c>
      <c r="B540" s="2">
        <v>45968.0</v>
      </c>
      <c r="C540" s="1" t="s">
        <v>503</v>
      </c>
      <c r="D540" s="1" t="s">
        <v>1481</v>
      </c>
      <c r="E540" s="1" t="s">
        <v>504</v>
      </c>
      <c r="F540" s="1">
        <v>1136.0</v>
      </c>
      <c r="G540" s="1" t="s">
        <v>297</v>
      </c>
      <c r="H540" s="1">
        <v>2272.0</v>
      </c>
      <c r="I540" s="1" t="s">
        <v>21</v>
      </c>
      <c r="J540" s="1" t="s">
        <v>28</v>
      </c>
      <c r="K540" s="1">
        <v>-22.430551</v>
      </c>
      <c r="L540" s="1">
        <v>-41.743071</v>
      </c>
      <c r="M540" s="1">
        <v>0.0</v>
      </c>
      <c r="Q540" s="1">
        <f t="shared" si="1"/>
        <v>0</v>
      </c>
    </row>
    <row r="541" ht="15.75" customHeight="1">
      <c r="A541" s="1" t="s">
        <v>1482</v>
      </c>
      <c r="B541" s="2">
        <v>45873.0</v>
      </c>
      <c r="C541" s="1" t="s">
        <v>540</v>
      </c>
      <c r="D541" s="1" t="s">
        <v>1483</v>
      </c>
      <c r="E541" s="1" t="s">
        <v>210</v>
      </c>
      <c r="F541" s="1">
        <v>1588.0</v>
      </c>
      <c r="G541" s="1" t="s">
        <v>392</v>
      </c>
      <c r="H541" s="1">
        <v>4100.0</v>
      </c>
      <c r="I541" s="1" t="s">
        <v>198</v>
      </c>
      <c r="J541" s="1" t="s">
        <v>22</v>
      </c>
      <c r="K541" s="1">
        <v>-22.433661</v>
      </c>
      <c r="L541" s="1">
        <v>-41.796254</v>
      </c>
      <c r="M541" s="1">
        <v>0.0</v>
      </c>
      <c r="Q541" s="1">
        <f t="shared" si="1"/>
        <v>4100</v>
      </c>
    </row>
    <row r="542" ht="15.75" customHeight="1">
      <c r="A542" s="1" t="s">
        <v>1484</v>
      </c>
      <c r="B542" s="2">
        <v>45827.0</v>
      </c>
      <c r="C542" s="1" t="s">
        <v>282</v>
      </c>
      <c r="D542" s="1" t="s">
        <v>1485</v>
      </c>
      <c r="E542" s="1" t="s">
        <v>45</v>
      </c>
      <c r="F542" s="1">
        <v>3162.0</v>
      </c>
      <c r="G542" s="1" t="s">
        <v>290</v>
      </c>
      <c r="H542" s="1">
        <v>4750.0</v>
      </c>
      <c r="I542" s="1" t="s">
        <v>198</v>
      </c>
      <c r="J542" s="1" t="s">
        <v>22</v>
      </c>
      <c r="K542" s="1">
        <v>-22.442003</v>
      </c>
      <c r="L542" s="1">
        <v>-41.754039</v>
      </c>
      <c r="M542" s="1">
        <v>3.0</v>
      </c>
      <c r="Q542" s="1">
        <f t="shared" si="1"/>
        <v>4750</v>
      </c>
    </row>
    <row r="543" ht="15.75" customHeight="1">
      <c r="A543" s="1" t="s">
        <v>1486</v>
      </c>
      <c r="B543" s="2">
        <v>45992.0</v>
      </c>
      <c r="C543" s="1" t="s">
        <v>713</v>
      </c>
      <c r="D543" s="1" t="s">
        <v>1487</v>
      </c>
      <c r="E543" s="1" t="s">
        <v>65</v>
      </c>
      <c r="F543" s="1">
        <v>3840.0</v>
      </c>
      <c r="G543" s="1" t="s">
        <v>1488</v>
      </c>
      <c r="H543" s="1">
        <v>9715.0</v>
      </c>
      <c r="I543" s="1" t="s">
        <v>198</v>
      </c>
      <c r="J543" s="1" t="s">
        <v>28</v>
      </c>
      <c r="K543" s="1">
        <v>-22.383225</v>
      </c>
      <c r="L543" s="1">
        <v>-41.716464</v>
      </c>
      <c r="M543" s="1">
        <v>4.0</v>
      </c>
      <c r="Q543" s="1">
        <f t="shared" si="1"/>
        <v>9715</v>
      </c>
    </row>
    <row r="544" ht="15.75" customHeight="1">
      <c r="A544" s="1" t="s">
        <v>1489</v>
      </c>
      <c r="B544" s="2">
        <v>45680.0</v>
      </c>
      <c r="C544" s="1" t="s">
        <v>570</v>
      </c>
      <c r="D544" s="1" t="s">
        <v>1487</v>
      </c>
      <c r="E544" s="1" t="s">
        <v>59</v>
      </c>
      <c r="F544" s="1">
        <v>1790.0</v>
      </c>
      <c r="G544" s="1" t="s">
        <v>1490</v>
      </c>
      <c r="H544" s="1">
        <v>6646.0</v>
      </c>
      <c r="I544" s="1" t="s">
        <v>21</v>
      </c>
      <c r="J544" s="1" t="s">
        <v>205</v>
      </c>
      <c r="K544" s="1">
        <v>-22.422781</v>
      </c>
      <c r="L544" s="1">
        <v>-41.706006</v>
      </c>
      <c r="M544" s="1">
        <v>3.0</v>
      </c>
      <c r="Q544" s="1">
        <f t="shared" si="1"/>
        <v>0</v>
      </c>
    </row>
    <row r="545" ht="15.75" customHeight="1">
      <c r="A545" s="1" t="s">
        <v>1491</v>
      </c>
      <c r="B545" s="2">
        <v>45921.0</v>
      </c>
      <c r="C545" s="1" t="s">
        <v>1492</v>
      </c>
      <c r="D545" s="1" t="s">
        <v>1487</v>
      </c>
      <c r="E545" s="1" t="s">
        <v>26</v>
      </c>
      <c r="F545" s="1">
        <v>13257.0</v>
      </c>
      <c r="G545" s="1" t="s">
        <v>1493</v>
      </c>
      <c r="H545" s="1">
        <v>24280.0</v>
      </c>
      <c r="I545" s="1" t="s">
        <v>198</v>
      </c>
      <c r="J545" s="1" t="s">
        <v>28</v>
      </c>
      <c r="K545" s="1">
        <v>-22.394499</v>
      </c>
      <c r="L545" s="1">
        <v>-41.715551</v>
      </c>
      <c r="M545" s="1">
        <v>0.0</v>
      </c>
      <c r="Q545" s="1">
        <f t="shared" si="1"/>
        <v>24280</v>
      </c>
    </row>
    <row r="546" ht="15.75" customHeight="1">
      <c r="A546" s="1" t="s">
        <v>1494</v>
      </c>
      <c r="B546" s="2">
        <v>45758.0</v>
      </c>
      <c r="C546" s="1" t="s">
        <v>402</v>
      </c>
      <c r="D546" s="1" t="s">
        <v>1487</v>
      </c>
      <c r="E546" s="1" t="s">
        <v>290</v>
      </c>
      <c r="F546" s="1">
        <v>1588.0</v>
      </c>
      <c r="G546" s="1" t="s">
        <v>45</v>
      </c>
      <c r="H546" s="1">
        <v>4750.0</v>
      </c>
      <c r="I546" s="1" t="s">
        <v>21</v>
      </c>
      <c r="J546" s="1" t="s">
        <v>80</v>
      </c>
      <c r="K546" s="1">
        <v>-22.408735</v>
      </c>
      <c r="L546" s="1">
        <v>-41.760015</v>
      </c>
      <c r="M546" s="1">
        <v>4.0</v>
      </c>
      <c r="Q546" s="1">
        <f t="shared" si="1"/>
        <v>0</v>
      </c>
    </row>
    <row r="547" ht="15.75" customHeight="1">
      <c r="A547" s="1" t="s">
        <v>1495</v>
      </c>
      <c r="B547" s="2">
        <v>45824.0</v>
      </c>
      <c r="C547" s="1" t="s">
        <v>1496</v>
      </c>
      <c r="D547" s="1" t="s">
        <v>1487</v>
      </c>
      <c r="E547" s="1" t="s">
        <v>115</v>
      </c>
      <c r="F547" s="1">
        <v>5506.0</v>
      </c>
      <c r="G547" s="1" t="s">
        <v>1497</v>
      </c>
      <c r="H547" s="1">
        <v>28198.0</v>
      </c>
      <c r="I547" s="1" t="s">
        <v>21</v>
      </c>
      <c r="J547" s="1" t="s">
        <v>205</v>
      </c>
      <c r="K547" s="1">
        <v>-22.355151</v>
      </c>
      <c r="L547" s="1">
        <v>-41.733712</v>
      </c>
      <c r="M547" s="1">
        <v>4.0</v>
      </c>
      <c r="Q547" s="1">
        <f t="shared" si="1"/>
        <v>0</v>
      </c>
    </row>
    <row r="548" ht="15.75" customHeight="1">
      <c r="A548" s="1" t="s">
        <v>1498</v>
      </c>
      <c r="B548" s="2">
        <v>46100.0</v>
      </c>
      <c r="C548" s="1" t="s">
        <v>818</v>
      </c>
      <c r="D548" s="1" t="s">
        <v>1487</v>
      </c>
      <c r="E548" s="1" t="s">
        <v>49</v>
      </c>
      <c r="F548" s="1">
        <v>8020.0</v>
      </c>
      <c r="G548" s="1" t="s">
        <v>392</v>
      </c>
      <c r="H548" s="1">
        <v>10532.0</v>
      </c>
      <c r="I548" s="1" t="s">
        <v>198</v>
      </c>
      <c r="J548" s="1" t="s">
        <v>51</v>
      </c>
      <c r="K548" s="1">
        <v>-22.402683</v>
      </c>
      <c r="L548" s="1">
        <v>-41.79694</v>
      </c>
      <c r="M548" s="1">
        <v>1.0</v>
      </c>
      <c r="Q548" s="1">
        <f t="shared" si="1"/>
        <v>10532</v>
      </c>
    </row>
    <row r="549" ht="15.75" customHeight="1">
      <c r="A549" s="1" t="s">
        <v>1499</v>
      </c>
      <c r="B549" s="2">
        <v>46156.0</v>
      </c>
      <c r="C549" s="1" t="s">
        <v>606</v>
      </c>
      <c r="D549" s="1" t="s">
        <v>1487</v>
      </c>
      <c r="E549" s="1" t="s">
        <v>136</v>
      </c>
      <c r="F549" s="1">
        <v>1588.0</v>
      </c>
      <c r="G549" s="1" t="s">
        <v>26</v>
      </c>
      <c r="H549" s="1">
        <v>14845.0</v>
      </c>
      <c r="I549" s="1" t="s">
        <v>21</v>
      </c>
      <c r="J549" s="1" t="s">
        <v>51</v>
      </c>
      <c r="K549" s="1">
        <v>-22.391158</v>
      </c>
      <c r="L549" s="1">
        <v>-41.759468</v>
      </c>
      <c r="M549" s="1">
        <v>3.0</v>
      </c>
      <c r="Q549" s="1">
        <f t="shared" si="1"/>
        <v>0</v>
      </c>
    </row>
    <row r="550" ht="15.75" customHeight="1">
      <c r="A550" s="1" t="s">
        <v>1500</v>
      </c>
      <c r="B550" s="2">
        <v>46002.0</v>
      </c>
      <c r="C550" s="1" t="s">
        <v>157</v>
      </c>
      <c r="D550" s="1" t="s">
        <v>1487</v>
      </c>
      <c r="E550" s="1" t="s">
        <v>33</v>
      </c>
      <c r="F550" s="1">
        <v>821.0</v>
      </c>
      <c r="G550" s="1" t="s">
        <v>1501</v>
      </c>
      <c r="H550" s="1">
        <v>6205.0</v>
      </c>
      <c r="I550" s="1" t="s">
        <v>21</v>
      </c>
      <c r="J550" s="1" t="s">
        <v>80</v>
      </c>
      <c r="K550" s="1">
        <v>-22.390655</v>
      </c>
      <c r="L550" s="1">
        <v>-41.71468</v>
      </c>
      <c r="M550" s="1">
        <v>1.0</v>
      </c>
      <c r="Q550" s="1">
        <f t="shared" si="1"/>
        <v>0</v>
      </c>
    </row>
    <row r="551" ht="15.75" customHeight="1">
      <c r="A551" s="1" t="s">
        <v>1502</v>
      </c>
      <c r="B551" s="2">
        <v>45811.0</v>
      </c>
      <c r="C551" s="1" t="s">
        <v>603</v>
      </c>
      <c r="D551" s="1" t="s">
        <v>1487</v>
      </c>
      <c r="E551" s="1" t="s">
        <v>291</v>
      </c>
      <c r="F551" s="1">
        <v>194.0</v>
      </c>
      <c r="G551" s="1" t="s">
        <v>84</v>
      </c>
      <c r="H551" s="1">
        <v>9629.0</v>
      </c>
      <c r="I551" s="1" t="s">
        <v>21</v>
      </c>
      <c r="J551" s="1" t="s">
        <v>51</v>
      </c>
      <c r="K551" s="1">
        <v>-22.400735</v>
      </c>
      <c r="L551" s="1">
        <v>-41.790768</v>
      </c>
      <c r="M551" s="1">
        <v>4.0</v>
      </c>
      <c r="Q551" s="1">
        <f t="shared" si="1"/>
        <v>0</v>
      </c>
    </row>
    <row r="552" ht="15.75" customHeight="1">
      <c r="A552" s="1" t="s">
        <v>1503</v>
      </c>
      <c r="B552" s="2">
        <v>46140.0</v>
      </c>
      <c r="C552" s="1" t="s">
        <v>598</v>
      </c>
      <c r="D552" s="1" t="s">
        <v>1487</v>
      </c>
      <c r="E552" s="1" t="s">
        <v>256</v>
      </c>
      <c r="F552" s="1">
        <v>2512.0</v>
      </c>
      <c r="G552" s="1" t="s">
        <v>90</v>
      </c>
      <c r="H552" s="1">
        <v>11947.0</v>
      </c>
      <c r="I552" s="1" t="s">
        <v>21</v>
      </c>
      <c r="J552" s="1" t="s">
        <v>40</v>
      </c>
      <c r="K552" s="1">
        <v>-22.436652</v>
      </c>
      <c r="L552" s="1">
        <v>-41.70163</v>
      </c>
      <c r="M552" s="1">
        <v>1.0</v>
      </c>
      <c r="Q552" s="1">
        <f t="shared" si="1"/>
        <v>0</v>
      </c>
    </row>
    <row r="553" ht="15.75" customHeight="1">
      <c r="A553" s="1" t="s">
        <v>1504</v>
      </c>
      <c r="B553" s="2">
        <v>45827.0</v>
      </c>
      <c r="C553" s="1" t="s">
        <v>268</v>
      </c>
      <c r="D553" s="1" t="s">
        <v>1505</v>
      </c>
      <c r="E553" s="1" t="s">
        <v>136</v>
      </c>
      <c r="F553" s="1">
        <v>1588.0</v>
      </c>
      <c r="G553" s="1" t="s">
        <v>1506</v>
      </c>
      <c r="H553" s="1">
        <v>13949.0</v>
      </c>
      <c r="I553" s="1" t="s">
        <v>21</v>
      </c>
      <c r="J553" s="1" t="s">
        <v>80</v>
      </c>
      <c r="K553" s="1">
        <v>-22.440003</v>
      </c>
      <c r="L553" s="1">
        <v>-41.700368</v>
      </c>
      <c r="M553" s="1">
        <v>2.0</v>
      </c>
      <c r="Q553" s="1">
        <f t="shared" si="1"/>
        <v>0</v>
      </c>
    </row>
    <row r="554" ht="15.75" customHeight="1">
      <c r="A554" s="1" t="s">
        <v>1507</v>
      </c>
      <c r="B554" s="2">
        <v>45854.0</v>
      </c>
      <c r="C554" s="1" t="s">
        <v>548</v>
      </c>
      <c r="D554" s="1" t="s">
        <v>1505</v>
      </c>
      <c r="E554" s="1" t="s">
        <v>84</v>
      </c>
      <c r="F554" s="1">
        <v>9435.0</v>
      </c>
      <c r="G554" s="1" t="s">
        <v>38</v>
      </c>
      <c r="H554" s="1">
        <v>12410.0</v>
      </c>
      <c r="I554" s="1" t="s">
        <v>21</v>
      </c>
      <c r="J554" s="1" t="s">
        <v>51</v>
      </c>
      <c r="K554" s="1">
        <v>-22.367581</v>
      </c>
      <c r="L554" s="1">
        <v>-41.750964</v>
      </c>
      <c r="M554" s="1">
        <v>1.0</v>
      </c>
      <c r="Q554" s="1">
        <f t="shared" si="1"/>
        <v>0</v>
      </c>
    </row>
    <row r="555" ht="15.75" customHeight="1">
      <c r="A555" s="1" t="s">
        <v>1508</v>
      </c>
      <c r="B555" s="2">
        <v>45949.0</v>
      </c>
      <c r="C555" s="1" t="s">
        <v>369</v>
      </c>
      <c r="D555" s="1" t="s">
        <v>1505</v>
      </c>
      <c r="E555" s="1" t="s">
        <v>197</v>
      </c>
      <c r="F555" s="1">
        <v>195.0</v>
      </c>
      <c r="G555" s="1" t="s">
        <v>1509</v>
      </c>
      <c r="H555" s="1">
        <v>16427.0</v>
      </c>
      <c r="I555" s="1" t="s">
        <v>21</v>
      </c>
      <c r="J555" s="1" t="s">
        <v>22</v>
      </c>
      <c r="K555" s="1">
        <v>-22.403766</v>
      </c>
      <c r="L555" s="1">
        <v>-41.71476</v>
      </c>
      <c r="M555" s="1">
        <v>1.0</v>
      </c>
      <c r="Q555" s="1">
        <f t="shared" si="1"/>
        <v>0</v>
      </c>
    </row>
    <row r="556" ht="15.75" customHeight="1">
      <c r="A556" s="1" t="s">
        <v>1510</v>
      </c>
      <c r="B556" s="2">
        <v>45948.0</v>
      </c>
      <c r="C556" s="1" t="s">
        <v>113</v>
      </c>
      <c r="D556" s="1" t="s">
        <v>1505</v>
      </c>
      <c r="E556" s="1" t="s">
        <v>69</v>
      </c>
      <c r="F556" s="1">
        <v>4825.0</v>
      </c>
      <c r="G556" s="1" t="s">
        <v>1511</v>
      </c>
      <c r="H556" s="1">
        <v>8666.0</v>
      </c>
      <c r="I556" s="1" t="s">
        <v>21</v>
      </c>
      <c r="J556" s="1" t="s">
        <v>51</v>
      </c>
      <c r="K556" s="1">
        <v>-22.364784</v>
      </c>
      <c r="L556" s="1">
        <v>-41.733499</v>
      </c>
      <c r="M556" s="1">
        <v>0.0</v>
      </c>
      <c r="Q556" s="1">
        <f t="shared" si="1"/>
        <v>0</v>
      </c>
    </row>
    <row r="557" ht="15.75" customHeight="1">
      <c r="A557" s="1" t="s">
        <v>1512</v>
      </c>
      <c r="B557" s="2">
        <v>45958.0</v>
      </c>
      <c r="C557" s="1" t="s">
        <v>282</v>
      </c>
      <c r="D557" s="1" t="s">
        <v>1505</v>
      </c>
      <c r="E557" s="1" t="s">
        <v>45</v>
      </c>
      <c r="F557" s="1">
        <v>3162.0</v>
      </c>
      <c r="G557" s="1" t="s">
        <v>1513</v>
      </c>
      <c r="H557" s="1">
        <v>6357.0</v>
      </c>
      <c r="I557" s="1" t="s">
        <v>198</v>
      </c>
      <c r="J557" s="1" t="s">
        <v>51</v>
      </c>
      <c r="K557" s="1">
        <v>-22.369303</v>
      </c>
      <c r="L557" s="1">
        <v>-41.776487</v>
      </c>
      <c r="M557" s="1">
        <v>3.0</v>
      </c>
      <c r="Q557" s="1">
        <f t="shared" si="1"/>
        <v>6357</v>
      </c>
    </row>
    <row r="558" ht="15.75" customHeight="1">
      <c r="A558" s="1" t="s">
        <v>1514</v>
      </c>
      <c r="B558" s="2">
        <v>45810.0</v>
      </c>
      <c r="C558" s="1" t="s">
        <v>1515</v>
      </c>
      <c r="D558" s="1" t="s">
        <v>1505</v>
      </c>
      <c r="E558" s="1" t="s">
        <v>26</v>
      </c>
      <c r="F558" s="1">
        <v>13257.0</v>
      </c>
      <c r="G558" s="1" t="s">
        <v>1516</v>
      </c>
      <c r="H558" s="1">
        <v>23424.0</v>
      </c>
      <c r="I558" s="1" t="s">
        <v>198</v>
      </c>
      <c r="J558" s="1" t="s">
        <v>40</v>
      </c>
      <c r="K558" s="1">
        <v>-22.442055</v>
      </c>
      <c r="L558" s="1">
        <v>-41.741232</v>
      </c>
      <c r="M558" s="1">
        <v>1.0</v>
      </c>
      <c r="Q558" s="1">
        <f t="shared" si="1"/>
        <v>23424</v>
      </c>
    </row>
    <row r="559" ht="15.75" customHeight="1">
      <c r="A559" s="1" t="s">
        <v>1517</v>
      </c>
      <c r="B559" s="2">
        <v>45787.0</v>
      </c>
      <c r="C559" s="1" t="s">
        <v>365</v>
      </c>
      <c r="D559" s="1" t="s">
        <v>1505</v>
      </c>
      <c r="E559" s="1" t="s">
        <v>344</v>
      </c>
      <c r="F559" s="1">
        <v>2512.0</v>
      </c>
      <c r="G559" s="1" t="s">
        <v>291</v>
      </c>
      <c r="H559" s="1">
        <v>2706.0</v>
      </c>
      <c r="I559" s="1" t="s">
        <v>198</v>
      </c>
      <c r="J559" s="1" t="s">
        <v>22</v>
      </c>
      <c r="K559" s="1">
        <v>-22.421752</v>
      </c>
      <c r="L559" s="1">
        <v>-41.766727</v>
      </c>
      <c r="M559" s="1">
        <v>1.0</v>
      </c>
      <c r="Q559" s="1">
        <f t="shared" si="1"/>
        <v>2706</v>
      </c>
    </row>
    <row r="560" ht="15.75" customHeight="1">
      <c r="A560" s="1" t="s">
        <v>1518</v>
      </c>
      <c r="B560" s="2">
        <v>45783.0</v>
      </c>
      <c r="C560" s="1" t="s">
        <v>834</v>
      </c>
      <c r="D560" s="1" t="s">
        <v>1505</v>
      </c>
      <c r="E560" s="1" t="s">
        <v>49</v>
      </c>
      <c r="F560" s="1">
        <v>8020.0</v>
      </c>
      <c r="G560" s="1" t="s">
        <v>1519</v>
      </c>
      <c r="H560" s="1">
        <v>11548.0</v>
      </c>
      <c r="I560" s="1" t="s">
        <v>198</v>
      </c>
      <c r="J560" s="1" t="s">
        <v>86</v>
      </c>
      <c r="K560" s="1">
        <v>-22.356256</v>
      </c>
      <c r="L560" s="1">
        <v>-41.779023</v>
      </c>
      <c r="M560" s="1">
        <v>4.0</v>
      </c>
      <c r="Q560" s="1">
        <f t="shared" si="1"/>
        <v>11548</v>
      </c>
    </row>
    <row r="561" ht="15.75" customHeight="1">
      <c r="A561" s="1" t="s">
        <v>1520</v>
      </c>
      <c r="B561" s="2">
        <v>45854.0</v>
      </c>
      <c r="C561" s="1" t="s">
        <v>282</v>
      </c>
      <c r="D561" s="1" t="s">
        <v>1505</v>
      </c>
      <c r="E561" s="1" t="s">
        <v>45</v>
      </c>
      <c r="F561" s="1">
        <v>3162.0</v>
      </c>
      <c r="G561" s="1" t="s">
        <v>1521</v>
      </c>
      <c r="H561" s="1">
        <v>10711.0</v>
      </c>
      <c r="I561" s="1" t="s">
        <v>198</v>
      </c>
      <c r="J561" s="1" t="s">
        <v>22</v>
      </c>
      <c r="K561" s="1">
        <v>-22.445109</v>
      </c>
      <c r="L561" s="1">
        <v>-41.715888</v>
      </c>
      <c r="M561" s="1">
        <v>2.0</v>
      </c>
      <c r="Q561" s="1">
        <f t="shared" si="1"/>
        <v>10711</v>
      </c>
    </row>
    <row r="562" ht="15.75" customHeight="1">
      <c r="A562" s="1" t="s">
        <v>1522</v>
      </c>
      <c r="B562" s="2">
        <v>46065.0</v>
      </c>
      <c r="C562" s="1" t="s">
        <v>53</v>
      </c>
      <c r="D562" s="1" t="s">
        <v>1505</v>
      </c>
      <c r="E562" s="1" t="s">
        <v>55</v>
      </c>
      <c r="F562" s="1">
        <v>2409.0</v>
      </c>
      <c r="G562" s="1" t="s">
        <v>1523</v>
      </c>
      <c r="H562" s="1">
        <v>6453.0</v>
      </c>
      <c r="I562" s="1" t="s">
        <v>198</v>
      </c>
      <c r="J562" s="1" t="s">
        <v>205</v>
      </c>
      <c r="K562" s="1">
        <v>-22.43671</v>
      </c>
      <c r="L562" s="1">
        <v>-41.767309</v>
      </c>
      <c r="M562" s="1">
        <v>2.0</v>
      </c>
      <c r="Q562" s="1">
        <f t="shared" si="1"/>
        <v>6453</v>
      </c>
    </row>
    <row r="563" ht="15.75" customHeight="1">
      <c r="A563" s="1" t="s">
        <v>1524</v>
      </c>
      <c r="B563" s="2">
        <v>45826.0</v>
      </c>
      <c r="C563" s="1" t="s">
        <v>134</v>
      </c>
      <c r="D563" s="1" t="s">
        <v>1505</v>
      </c>
      <c r="E563" s="1" t="s">
        <v>130</v>
      </c>
      <c r="F563" s="1">
        <v>13257.0</v>
      </c>
      <c r="G563" s="1" t="s">
        <v>1525</v>
      </c>
      <c r="H563" s="1">
        <v>25523.0</v>
      </c>
      <c r="I563" s="1" t="s">
        <v>21</v>
      </c>
      <c r="J563" s="1" t="s">
        <v>51</v>
      </c>
      <c r="K563" s="1">
        <v>-22.440678</v>
      </c>
      <c r="L563" s="1">
        <v>-41.712448</v>
      </c>
      <c r="M563" s="1">
        <v>2.0</v>
      </c>
      <c r="Q563" s="1">
        <f t="shared" si="1"/>
        <v>0</v>
      </c>
    </row>
    <row r="564" ht="15.75" customHeight="1">
      <c r="A564" s="1" t="s">
        <v>1526</v>
      </c>
      <c r="B564" s="2">
        <v>45903.0</v>
      </c>
      <c r="C564" s="1" t="s">
        <v>1527</v>
      </c>
      <c r="D564" s="1" t="s">
        <v>1528</v>
      </c>
      <c r="E564" s="1" t="s">
        <v>65</v>
      </c>
      <c r="F564" s="1">
        <v>3840.0</v>
      </c>
      <c r="G564" s="1" t="s">
        <v>297</v>
      </c>
      <c r="H564" s="1">
        <v>4976.0</v>
      </c>
      <c r="I564" s="1" t="s">
        <v>21</v>
      </c>
      <c r="J564" s="1" t="s">
        <v>205</v>
      </c>
      <c r="K564" s="1">
        <v>-22.354294</v>
      </c>
      <c r="L564" s="1">
        <v>-41.709269</v>
      </c>
      <c r="M564" s="1">
        <v>4.0</v>
      </c>
      <c r="Q564" s="1">
        <f t="shared" si="1"/>
        <v>0</v>
      </c>
    </row>
    <row r="565" ht="15.75" customHeight="1">
      <c r="A565" s="1" t="s">
        <v>1529</v>
      </c>
      <c r="B565" s="2">
        <v>46009.0</v>
      </c>
      <c r="C565" s="1" t="s">
        <v>1530</v>
      </c>
      <c r="D565" s="1" t="s">
        <v>1528</v>
      </c>
      <c r="E565" s="1" t="s">
        <v>60</v>
      </c>
      <c r="F565" s="1">
        <v>2456.0</v>
      </c>
      <c r="G565" s="1" t="s">
        <v>1531</v>
      </c>
      <c r="H565" s="1">
        <v>4728.0</v>
      </c>
      <c r="I565" s="1" t="s">
        <v>198</v>
      </c>
      <c r="J565" s="1" t="s">
        <v>80</v>
      </c>
      <c r="K565" s="1">
        <v>-22.416282</v>
      </c>
      <c r="L565" s="1">
        <v>-41.78954</v>
      </c>
      <c r="M565" s="1">
        <v>4.0</v>
      </c>
      <c r="Q565" s="1">
        <f t="shared" si="1"/>
        <v>4728</v>
      </c>
    </row>
    <row r="566" ht="15.75" customHeight="1">
      <c r="A566" s="1" t="s">
        <v>1532</v>
      </c>
      <c r="B566" s="2">
        <v>45998.0</v>
      </c>
      <c r="C566" s="1" t="s">
        <v>1155</v>
      </c>
      <c r="D566" s="1" t="s">
        <v>1528</v>
      </c>
      <c r="E566" s="1" t="s">
        <v>50</v>
      </c>
      <c r="F566" s="1">
        <v>1588.0</v>
      </c>
      <c r="G566" s="1" t="s">
        <v>44</v>
      </c>
      <c r="H566" s="1">
        <v>7094.0</v>
      </c>
      <c r="I566" s="1" t="s">
        <v>21</v>
      </c>
      <c r="J566" s="1" t="s">
        <v>86</v>
      </c>
      <c r="K566" s="1">
        <v>-22.396913</v>
      </c>
      <c r="L566" s="1">
        <v>-41.711041</v>
      </c>
      <c r="M566" s="1">
        <v>4.0</v>
      </c>
      <c r="Q566" s="1">
        <f t="shared" si="1"/>
        <v>0</v>
      </c>
    </row>
    <row r="567" ht="15.75" customHeight="1">
      <c r="A567" s="1" t="s">
        <v>1533</v>
      </c>
      <c r="B567" s="2">
        <v>46123.0</v>
      </c>
      <c r="C567" s="1" t="s">
        <v>1534</v>
      </c>
      <c r="D567" s="1" t="s">
        <v>1528</v>
      </c>
      <c r="E567" s="1" t="s">
        <v>59</v>
      </c>
      <c r="F567" s="1">
        <v>1790.0</v>
      </c>
      <c r="G567" s="1" t="s">
        <v>1535</v>
      </c>
      <c r="H567" s="1">
        <v>20997.0</v>
      </c>
      <c r="I567" s="1" t="s">
        <v>21</v>
      </c>
      <c r="J567" s="1" t="s">
        <v>86</v>
      </c>
      <c r="K567" s="1">
        <v>-22.396121</v>
      </c>
      <c r="L567" s="1">
        <v>-41.724423</v>
      </c>
      <c r="M567" s="1">
        <v>4.0</v>
      </c>
      <c r="Q567" s="1">
        <f t="shared" si="1"/>
        <v>0</v>
      </c>
    </row>
    <row r="568" ht="15.75" customHeight="1">
      <c r="A568" s="1" t="s">
        <v>1536</v>
      </c>
      <c r="B568" s="2">
        <v>45722.0</v>
      </c>
      <c r="C568" s="1" t="s">
        <v>1537</v>
      </c>
      <c r="D568" s="1" t="s">
        <v>1538</v>
      </c>
      <c r="E568" s="1" t="s">
        <v>297</v>
      </c>
      <c r="F568" s="1">
        <v>1136.0</v>
      </c>
      <c r="G568" s="1" t="s">
        <v>1539</v>
      </c>
      <c r="H568" s="1">
        <v>3408.0</v>
      </c>
      <c r="I568" s="1" t="s">
        <v>198</v>
      </c>
      <c r="J568" s="1" t="s">
        <v>51</v>
      </c>
      <c r="K568" s="1">
        <v>-22.357095</v>
      </c>
      <c r="L568" s="1">
        <v>-41.708589</v>
      </c>
      <c r="M568" s="1">
        <v>3.0</v>
      </c>
      <c r="Q568" s="1">
        <f t="shared" si="1"/>
        <v>3408</v>
      </c>
    </row>
    <row r="569" ht="15.75" customHeight="1">
      <c r="A569" s="1" t="s">
        <v>1540</v>
      </c>
      <c r="B569" s="2">
        <v>46118.0</v>
      </c>
      <c r="C569" s="1" t="s">
        <v>1541</v>
      </c>
      <c r="D569" s="1" t="s">
        <v>1538</v>
      </c>
      <c r="E569" s="1" t="s">
        <v>95</v>
      </c>
      <c r="F569" s="1">
        <v>1588.0</v>
      </c>
      <c r="G569" s="1" t="s">
        <v>1542</v>
      </c>
      <c r="H569" s="1">
        <v>12986.0</v>
      </c>
      <c r="I569" s="1" t="s">
        <v>21</v>
      </c>
      <c r="J569" s="1" t="s">
        <v>86</v>
      </c>
      <c r="K569" s="1">
        <v>-22.360849</v>
      </c>
      <c r="L569" s="1">
        <v>-41.714784</v>
      </c>
      <c r="M569" s="1">
        <v>2.0</v>
      </c>
      <c r="Q569" s="1">
        <f t="shared" si="1"/>
        <v>0</v>
      </c>
    </row>
    <row r="570" ht="15.75" customHeight="1">
      <c r="A570" s="1" t="s">
        <v>1543</v>
      </c>
      <c r="B570" s="2">
        <v>45662.0</v>
      </c>
      <c r="C570" s="1" t="s">
        <v>1295</v>
      </c>
      <c r="D570" s="1" t="s">
        <v>1538</v>
      </c>
      <c r="E570" s="1" t="s">
        <v>290</v>
      </c>
      <c r="F570" s="1">
        <v>1588.0</v>
      </c>
      <c r="G570" s="1" t="s">
        <v>1544</v>
      </c>
      <c r="H570" s="1">
        <v>4959.0</v>
      </c>
      <c r="I570" s="1" t="s">
        <v>198</v>
      </c>
      <c r="J570" s="1" t="s">
        <v>34</v>
      </c>
      <c r="K570" s="1">
        <v>-22.445946</v>
      </c>
      <c r="L570" s="1">
        <v>-41.704799</v>
      </c>
      <c r="M570" s="1">
        <v>4.0</v>
      </c>
      <c r="Q570" s="1">
        <f t="shared" si="1"/>
        <v>4959</v>
      </c>
    </row>
    <row r="571" ht="15.75" customHeight="1">
      <c r="A571" s="1" t="s">
        <v>1545</v>
      </c>
      <c r="B571" s="2">
        <v>46098.0</v>
      </c>
      <c r="C571" s="1" t="s">
        <v>1546</v>
      </c>
      <c r="D571" s="1" t="s">
        <v>1547</v>
      </c>
      <c r="E571" s="1" t="s">
        <v>392</v>
      </c>
      <c r="F571" s="1">
        <v>2512.0</v>
      </c>
      <c r="G571" s="1" t="s">
        <v>504</v>
      </c>
      <c r="H571" s="1">
        <v>3648.0</v>
      </c>
      <c r="I571" s="1" t="s">
        <v>21</v>
      </c>
      <c r="J571" s="1" t="s">
        <v>22</v>
      </c>
      <c r="K571" s="1">
        <v>-22.369761</v>
      </c>
      <c r="L571" s="1">
        <v>-41.772637</v>
      </c>
      <c r="M571" s="1">
        <v>0.0</v>
      </c>
      <c r="Q571" s="1">
        <f t="shared" si="1"/>
        <v>0</v>
      </c>
    </row>
    <row r="572" ht="15.75" customHeight="1">
      <c r="A572" s="1" t="s">
        <v>1548</v>
      </c>
      <c r="B572" s="2">
        <v>45710.0</v>
      </c>
      <c r="C572" s="1" t="s">
        <v>1549</v>
      </c>
      <c r="D572" s="1" t="s">
        <v>1547</v>
      </c>
      <c r="E572" s="1" t="s">
        <v>356</v>
      </c>
      <c r="F572" s="1">
        <v>0.0</v>
      </c>
      <c r="G572" s="1" t="s">
        <v>1550</v>
      </c>
      <c r="H572" s="1">
        <v>2724.0</v>
      </c>
      <c r="I572" s="1" t="s">
        <v>198</v>
      </c>
      <c r="J572" s="1" t="s">
        <v>34</v>
      </c>
      <c r="K572" s="1">
        <v>-22.396591</v>
      </c>
      <c r="L572" s="1">
        <v>-41.744764</v>
      </c>
      <c r="M572" s="1">
        <v>3.0</v>
      </c>
      <c r="Q572" s="1">
        <f t="shared" si="1"/>
        <v>2724</v>
      </c>
    </row>
    <row r="573" ht="15.75" customHeight="1">
      <c r="A573" s="1" t="s">
        <v>1551</v>
      </c>
      <c r="B573" s="2">
        <v>45839.0</v>
      </c>
      <c r="C573" s="1" t="s">
        <v>469</v>
      </c>
      <c r="D573" s="1" t="s">
        <v>1547</v>
      </c>
      <c r="E573" s="1" t="s">
        <v>344</v>
      </c>
      <c r="F573" s="1">
        <v>2512.0</v>
      </c>
      <c r="G573" s="1" t="s">
        <v>504</v>
      </c>
      <c r="H573" s="1">
        <v>3648.0</v>
      </c>
      <c r="I573" s="1" t="s">
        <v>198</v>
      </c>
      <c r="J573" s="1" t="s">
        <v>34</v>
      </c>
      <c r="K573" s="1">
        <v>-22.448579</v>
      </c>
      <c r="L573" s="1">
        <v>-41.75705</v>
      </c>
      <c r="M573" s="1">
        <v>4.0</v>
      </c>
      <c r="Q573" s="1">
        <f t="shared" si="1"/>
        <v>3648</v>
      </c>
    </row>
    <row r="574" ht="15.75" customHeight="1">
      <c r="A574" s="1" t="s">
        <v>1552</v>
      </c>
      <c r="B574" s="2">
        <v>45790.0</v>
      </c>
      <c r="C574" s="1" t="s">
        <v>1527</v>
      </c>
      <c r="D574" s="1" t="s">
        <v>1547</v>
      </c>
      <c r="E574" s="1" t="s">
        <v>65</v>
      </c>
      <c r="F574" s="1">
        <v>3840.0</v>
      </c>
      <c r="G574" s="1" t="s">
        <v>1553</v>
      </c>
      <c r="H574" s="1">
        <v>5992.0</v>
      </c>
      <c r="I574" s="1" t="s">
        <v>21</v>
      </c>
      <c r="J574" s="1" t="s">
        <v>28</v>
      </c>
      <c r="K574" s="1">
        <v>-22.384254</v>
      </c>
      <c r="L574" s="1">
        <v>-41.732819</v>
      </c>
      <c r="M574" s="1">
        <v>2.0</v>
      </c>
      <c r="Q574" s="1">
        <f t="shared" si="1"/>
        <v>0</v>
      </c>
    </row>
    <row r="575" ht="15.75" customHeight="1">
      <c r="A575" s="1" t="s">
        <v>1554</v>
      </c>
      <c r="B575" s="2">
        <v>45825.0</v>
      </c>
      <c r="C575" s="1" t="s">
        <v>540</v>
      </c>
      <c r="D575" s="1" t="s">
        <v>1555</v>
      </c>
      <c r="E575" s="1" t="s">
        <v>210</v>
      </c>
      <c r="F575" s="1">
        <v>1588.0</v>
      </c>
      <c r="G575" s="1" t="s">
        <v>392</v>
      </c>
      <c r="H575" s="1">
        <v>4100.0</v>
      </c>
      <c r="I575" s="1" t="s">
        <v>21</v>
      </c>
      <c r="J575" s="1" t="s">
        <v>22</v>
      </c>
      <c r="K575" s="1">
        <v>-22.373491</v>
      </c>
      <c r="L575" s="1">
        <v>-41.771122</v>
      </c>
      <c r="M575" s="1">
        <v>2.0</v>
      </c>
      <c r="Q575" s="1">
        <f t="shared" si="1"/>
        <v>0</v>
      </c>
    </row>
    <row r="576" ht="15.75" customHeight="1">
      <c r="A576" s="1" t="s">
        <v>1556</v>
      </c>
      <c r="B576" s="2">
        <v>45817.0</v>
      </c>
      <c r="C576" s="1" t="s">
        <v>716</v>
      </c>
      <c r="D576" s="1" t="s">
        <v>1557</v>
      </c>
      <c r="E576" s="1" t="s">
        <v>356</v>
      </c>
      <c r="F576" s="1">
        <v>0.0</v>
      </c>
      <c r="G576" s="1" t="s">
        <v>1558</v>
      </c>
      <c r="H576" s="1">
        <v>15382.0</v>
      </c>
      <c r="I576" s="1" t="s">
        <v>21</v>
      </c>
      <c r="J576" s="1" t="s">
        <v>40</v>
      </c>
      <c r="K576" s="1">
        <v>-22.354641</v>
      </c>
      <c r="L576" s="1">
        <v>-41.793402</v>
      </c>
      <c r="M576" s="1">
        <v>0.0</v>
      </c>
      <c r="Q576" s="1">
        <f t="shared" si="1"/>
        <v>0</v>
      </c>
    </row>
    <row r="577" ht="15.75" customHeight="1">
      <c r="A577" s="1" t="s">
        <v>1559</v>
      </c>
      <c r="B577" s="2">
        <v>46003.0</v>
      </c>
      <c r="C577" s="1" t="s">
        <v>385</v>
      </c>
      <c r="D577" s="1" t="s">
        <v>1560</v>
      </c>
      <c r="E577" s="1" t="s">
        <v>197</v>
      </c>
      <c r="F577" s="1">
        <v>195.0</v>
      </c>
      <c r="G577" s="1" t="s">
        <v>344</v>
      </c>
      <c r="H577" s="1">
        <v>2707.0</v>
      </c>
      <c r="I577" s="1" t="s">
        <v>198</v>
      </c>
      <c r="J577" s="1" t="s">
        <v>205</v>
      </c>
      <c r="K577" s="1">
        <v>-22.398922</v>
      </c>
      <c r="L577" s="1">
        <v>-41.751876</v>
      </c>
      <c r="M577" s="1">
        <v>0.0</v>
      </c>
      <c r="Q577" s="1">
        <f t="shared" si="1"/>
        <v>2707</v>
      </c>
    </row>
    <row r="578" ht="15.75" customHeight="1">
      <c r="A578" s="1" t="s">
        <v>1561</v>
      </c>
      <c r="B578" s="2">
        <v>46019.0</v>
      </c>
      <c r="C578" s="1" t="s">
        <v>1147</v>
      </c>
      <c r="D578" s="1" t="s">
        <v>1560</v>
      </c>
      <c r="E578" s="1" t="s">
        <v>70</v>
      </c>
      <c r="F578" s="1">
        <v>3840.0</v>
      </c>
      <c r="G578" s="1" t="s">
        <v>426</v>
      </c>
      <c r="H578" s="1">
        <v>14411.0</v>
      </c>
      <c r="I578" s="1" t="s">
        <v>21</v>
      </c>
      <c r="J578" s="1" t="s">
        <v>51</v>
      </c>
      <c r="K578" s="1">
        <v>-22.36934</v>
      </c>
      <c r="L578" s="1">
        <v>-41.74547</v>
      </c>
      <c r="M578" s="1">
        <v>1.0</v>
      </c>
      <c r="Q578" s="1">
        <f t="shared" si="1"/>
        <v>0</v>
      </c>
    </row>
    <row r="579" ht="15.75" customHeight="1">
      <c r="A579" s="1" t="s">
        <v>1562</v>
      </c>
      <c r="B579" s="2">
        <v>45824.0</v>
      </c>
      <c r="C579" s="1" t="s">
        <v>1563</v>
      </c>
      <c r="D579" s="1" t="s">
        <v>1560</v>
      </c>
      <c r="E579" s="1" t="s">
        <v>55</v>
      </c>
      <c r="F579" s="1">
        <v>2409.0</v>
      </c>
      <c r="G579" s="1" t="s">
        <v>1564</v>
      </c>
      <c r="H579" s="1">
        <v>15955.0</v>
      </c>
      <c r="I579" s="1" t="s">
        <v>21</v>
      </c>
      <c r="J579" s="1" t="s">
        <v>80</v>
      </c>
      <c r="K579" s="1">
        <v>-22.433966</v>
      </c>
      <c r="L579" s="1">
        <v>-41.718478</v>
      </c>
      <c r="M579" s="1">
        <v>1.0</v>
      </c>
      <c r="Q579" s="1">
        <f t="shared" si="1"/>
        <v>0</v>
      </c>
    </row>
    <row r="580" ht="15.75" customHeight="1">
      <c r="A580" s="1" t="s">
        <v>1565</v>
      </c>
      <c r="B580" s="2">
        <v>45688.0</v>
      </c>
      <c r="C580" s="1" t="s">
        <v>522</v>
      </c>
      <c r="D580" s="1" t="s">
        <v>1566</v>
      </c>
      <c r="E580" s="1" t="s">
        <v>356</v>
      </c>
      <c r="F580" s="1">
        <v>0.0</v>
      </c>
      <c r="G580" s="1" t="s">
        <v>45</v>
      </c>
      <c r="H580" s="1">
        <v>3162.0</v>
      </c>
      <c r="I580" s="1" t="s">
        <v>198</v>
      </c>
      <c r="J580" s="1" t="s">
        <v>51</v>
      </c>
      <c r="K580" s="1">
        <v>-22.370733</v>
      </c>
      <c r="L580" s="1">
        <v>-41.75676</v>
      </c>
      <c r="M580" s="1">
        <v>2.0</v>
      </c>
      <c r="Q580" s="1">
        <f t="shared" si="1"/>
        <v>3162</v>
      </c>
    </row>
    <row r="581" ht="15.75" customHeight="1">
      <c r="A581" s="1" t="s">
        <v>1567</v>
      </c>
      <c r="B581" s="2">
        <v>46153.0</v>
      </c>
      <c r="C581" s="1" t="s">
        <v>1568</v>
      </c>
      <c r="D581" s="1" t="s">
        <v>1569</v>
      </c>
      <c r="E581" s="1" t="s">
        <v>50</v>
      </c>
      <c r="F581" s="1">
        <v>1588.0</v>
      </c>
      <c r="G581" s="1" t="s">
        <v>187</v>
      </c>
      <c r="H581" s="1">
        <v>11919.0</v>
      </c>
      <c r="I581" s="1" t="s">
        <v>21</v>
      </c>
      <c r="J581" s="1" t="s">
        <v>22</v>
      </c>
      <c r="K581" s="1">
        <v>-22.352386</v>
      </c>
      <c r="L581" s="1">
        <v>-41.725535</v>
      </c>
      <c r="M581" s="1">
        <v>4.0</v>
      </c>
      <c r="Q581" s="1">
        <f t="shared" si="1"/>
        <v>0</v>
      </c>
    </row>
    <row r="582" ht="15.75" customHeight="1">
      <c r="A582" s="1" t="s">
        <v>1570</v>
      </c>
      <c r="B582" s="2">
        <v>45987.0</v>
      </c>
      <c r="C582" s="1" t="s">
        <v>900</v>
      </c>
      <c r="D582" s="1" t="s">
        <v>1571</v>
      </c>
      <c r="E582" s="1" t="s">
        <v>409</v>
      </c>
      <c r="F582" s="1">
        <v>1136.0</v>
      </c>
      <c r="G582" s="1" t="s">
        <v>1572</v>
      </c>
      <c r="H582" s="1">
        <v>3016.0</v>
      </c>
      <c r="I582" s="1" t="s">
        <v>198</v>
      </c>
      <c r="J582" s="1" t="s">
        <v>34</v>
      </c>
      <c r="K582" s="1">
        <v>-22.360003</v>
      </c>
      <c r="L582" s="1">
        <v>-41.796362</v>
      </c>
      <c r="M582" s="1">
        <v>2.0</v>
      </c>
      <c r="Q582" s="1">
        <f t="shared" si="1"/>
        <v>3016</v>
      </c>
    </row>
    <row r="583" ht="15.75" customHeight="1">
      <c r="A583" s="1" t="s">
        <v>1573</v>
      </c>
      <c r="B583" s="2">
        <v>45675.0</v>
      </c>
      <c r="C583" s="1" t="s">
        <v>590</v>
      </c>
      <c r="D583" s="1" t="s">
        <v>1574</v>
      </c>
      <c r="E583" s="1" t="s">
        <v>436</v>
      </c>
      <c r="F583" s="1">
        <v>2975.0</v>
      </c>
      <c r="G583" s="1" t="s">
        <v>59</v>
      </c>
      <c r="H583" s="1">
        <v>4765.0</v>
      </c>
      <c r="I583" s="1" t="s">
        <v>198</v>
      </c>
      <c r="J583" s="1" t="s">
        <v>80</v>
      </c>
      <c r="K583" s="1">
        <v>-22.408447</v>
      </c>
      <c r="L583" s="1">
        <v>-41.716248</v>
      </c>
      <c r="M583" s="1">
        <v>2.0</v>
      </c>
      <c r="Q583" s="1">
        <f t="shared" si="1"/>
        <v>4765</v>
      </c>
    </row>
    <row r="584" ht="15.75" customHeight="1">
      <c r="A584" s="1" t="s">
        <v>1575</v>
      </c>
      <c r="B584" s="2">
        <v>45777.0</v>
      </c>
      <c r="C584" s="1" t="s">
        <v>834</v>
      </c>
      <c r="D584" s="1" t="s">
        <v>1576</v>
      </c>
      <c r="E584" s="1" t="s">
        <v>49</v>
      </c>
      <c r="F584" s="1">
        <v>8020.0</v>
      </c>
      <c r="G584" s="1" t="s">
        <v>1577</v>
      </c>
      <c r="H584" s="1">
        <v>19245.0</v>
      </c>
      <c r="I584" s="1" t="s">
        <v>21</v>
      </c>
      <c r="J584" s="1" t="s">
        <v>28</v>
      </c>
      <c r="K584" s="1">
        <v>-22.402657</v>
      </c>
      <c r="L584" s="1">
        <v>-41.744641</v>
      </c>
      <c r="M584" s="1">
        <v>4.0</v>
      </c>
      <c r="Q584" s="1">
        <f t="shared" si="1"/>
        <v>0</v>
      </c>
    </row>
    <row r="585" ht="15.75" customHeight="1">
      <c r="A585" s="1" t="s">
        <v>1578</v>
      </c>
      <c r="B585" s="2">
        <v>45982.0</v>
      </c>
      <c r="C585" s="1" t="s">
        <v>30</v>
      </c>
      <c r="D585" s="1" t="s">
        <v>1579</v>
      </c>
      <c r="E585" s="1" t="s">
        <v>32</v>
      </c>
      <c r="F585" s="1">
        <v>1059.0</v>
      </c>
      <c r="G585" s="1" t="s">
        <v>1580</v>
      </c>
      <c r="H585" s="1">
        <v>10386.0</v>
      </c>
      <c r="I585" s="1" t="s">
        <v>21</v>
      </c>
      <c r="J585" s="1" t="s">
        <v>86</v>
      </c>
      <c r="K585" s="1">
        <v>-22.396292</v>
      </c>
      <c r="L585" s="1">
        <v>-41.757436</v>
      </c>
      <c r="M585" s="1">
        <v>1.0</v>
      </c>
      <c r="Q585" s="1">
        <f t="shared" si="1"/>
        <v>0</v>
      </c>
    </row>
    <row r="586" ht="15.75" customHeight="1">
      <c r="A586" s="1" t="s">
        <v>1581</v>
      </c>
      <c r="B586" s="2">
        <v>45798.0</v>
      </c>
      <c r="C586" s="1" t="s">
        <v>630</v>
      </c>
      <c r="D586" s="1" t="s">
        <v>1579</v>
      </c>
      <c r="E586" s="1" t="s">
        <v>297</v>
      </c>
      <c r="F586" s="1">
        <v>1136.0</v>
      </c>
      <c r="G586" s="1" t="s">
        <v>121</v>
      </c>
      <c r="H586" s="1">
        <v>8500.0</v>
      </c>
      <c r="I586" s="1" t="s">
        <v>198</v>
      </c>
      <c r="J586" s="1" t="s">
        <v>51</v>
      </c>
      <c r="K586" s="1">
        <v>-22.350072</v>
      </c>
      <c r="L586" s="1">
        <v>-41.771933</v>
      </c>
      <c r="M586" s="1">
        <v>2.0</v>
      </c>
      <c r="Q586" s="1">
        <f t="shared" si="1"/>
        <v>8500</v>
      </c>
    </row>
    <row r="587" ht="15.75" customHeight="1">
      <c r="A587" s="1" t="s">
        <v>1582</v>
      </c>
      <c r="B587" s="2">
        <v>45734.0</v>
      </c>
      <c r="C587" s="1" t="s">
        <v>540</v>
      </c>
      <c r="D587" s="1" t="s">
        <v>1583</v>
      </c>
      <c r="E587" s="1" t="s">
        <v>210</v>
      </c>
      <c r="F587" s="1">
        <v>1588.0</v>
      </c>
      <c r="G587" s="1" t="s">
        <v>356</v>
      </c>
      <c r="H587" s="1">
        <v>1588.0</v>
      </c>
      <c r="I587" s="1" t="s">
        <v>198</v>
      </c>
      <c r="J587" s="1" t="s">
        <v>86</v>
      </c>
      <c r="K587" s="1">
        <v>-22.376137</v>
      </c>
      <c r="L587" s="1">
        <v>-41.759313</v>
      </c>
      <c r="M587" s="1">
        <v>3.0</v>
      </c>
      <c r="Q587" s="1">
        <f t="shared" si="1"/>
        <v>1588</v>
      </c>
    </row>
    <row r="588" ht="15.75" customHeight="1">
      <c r="A588" s="1" t="s">
        <v>1584</v>
      </c>
      <c r="B588" s="2">
        <v>45798.0</v>
      </c>
      <c r="C588" s="1" t="s">
        <v>509</v>
      </c>
      <c r="D588" s="1" t="s">
        <v>1583</v>
      </c>
      <c r="E588" s="1" t="s">
        <v>19</v>
      </c>
      <c r="F588" s="1">
        <v>1136.0</v>
      </c>
      <c r="G588" s="1" t="s">
        <v>1585</v>
      </c>
      <c r="H588" s="1">
        <v>7951.0</v>
      </c>
      <c r="I588" s="1" t="s">
        <v>21</v>
      </c>
      <c r="J588" s="1" t="s">
        <v>22</v>
      </c>
      <c r="K588" s="1">
        <v>-22.413747</v>
      </c>
      <c r="L588" s="1">
        <v>-41.790484</v>
      </c>
      <c r="M588" s="1">
        <v>4.0</v>
      </c>
      <c r="Q588" s="1">
        <f t="shared" si="1"/>
        <v>0</v>
      </c>
    </row>
    <row r="589" ht="15.75" customHeight="1">
      <c r="A589" s="1" t="s">
        <v>1586</v>
      </c>
      <c r="B589" s="2">
        <v>45875.0</v>
      </c>
      <c r="C589" s="1" t="s">
        <v>53</v>
      </c>
      <c r="D589" s="1" t="s">
        <v>1587</v>
      </c>
      <c r="E589" s="1" t="s">
        <v>55</v>
      </c>
      <c r="F589" s="1">
        <v>2409.0</v>
      </c>
      <c r="G589" s="1" t="s">
        <v>1588</v>
      </c>
      <c r="H589" s="1">
        <v>8761.0</v>
      </c>
      <c r="I589" s="1" t="s">
        <v>21</v>
      </c>
      <c r="J589" s="1" t="s">
        <v>22</v>
      </c>
      <c r="K589" s="1">
        <v>-22.426848</v>
      </c>
      <c r="L589" s="1">
        <v>-41.772349</v>
      </c>
      <c r="M589" s="1">
        <v>4.0</v>
      </c>
      <c r="Q589" s="1">
        <f t="shared" si="1"/>
        <v>0</v>
      </c>
    </row>
    <row r="590" ht="15.75" customHeight="1">
      <c r="A590" s="1" t="s">
        <v>1589</v>
      </c>
      <c r="B590" s="2">
        <v>45962.0</v>
      </c>
      <c r="C590" s="1" t="s">
        <v>30</v>
      </c>
      <c r="D590" s="1" t="s">
        <v>1587</v>
      </c>
      <c r="E590" s="1" t="s">
        <v>32</v>
      </c>
      <c r="F590" s="1">
        <v>1059.0</v>
      </c>
      <c r="G590" s="1" t="s">
        <v>1590</v>
      </c>
      <c r="H590" s="1">
        <v>17790.0</v>
      </c>
      <c r="I590" s="1" t="s">
        <v>198</v>
      </c>
      <c r="J590" s="1" t="s">
        <v>51</v>
      </c>
      <c r="K590" s="1">
        <v>-22.37477</v>
      </c>
      <c r="L590" s="1">
        <v>-41.795926</v>
      </c>
      <c r="M590" s="1">
        <v>0.0</v>
      </c>
      <c r="Q590" s="1">
        <f t="shared" si="1"/>
        <v>17790</v>
      </c>
    </row>
    <row r="591" ht="15.75" customHeight="1">
      <c r="A591" s="1" t="s">
        <v>1591</v>
      </c>
      <c r="B591" s="2">
        <v>45711.0</v>
      </c>
      <c r="C591" s="1" t="s">
        <v>540</v>
      </c>
      <c r="D591" s="1" t="s">
        <v>1587</v>
      </c>
      <c r="E591" s="1" t="s">
        <v>210</v>
      </c>
      <c r="F591" s="1">
        <v>1588.0</v>
      </c>
      <c r="G591" s="1" t="s">
        <v>65</v>
      </c>
      <c r="H591" s="1">
        <v>5428.0</v>
      </c>
      <c r="I591" s="1" t="s">
        <v>198</v>
      </c>
      <c r="J591" s="1" t="s">
        <v>22</v>
      </c>
      <c r="K591" s="1">
        <v>-22.440569</v>
      </c>
      <c r="L591" s="1">
        <v>-41.70553</v>
      </c>
      <c r="M591" s="1">
        <v>1.0</v>
      </c>
      <c r="Q591" s="1">
        <f t="shared" si="1"/>
        <v>5428</v>
      </c>
    </row>
    <row r="592" ht="15.75" customHeight="1">
      <c r="A592" s="1" t="s">
        <v>1592</v>
      </c>
      <c r="B592" s="2">
        <v>46138.0</v>
      </c>
      <c r="C592" s="1" t="s">
        <v>1593</v>
      </c>
      <c r="D592" s="1" t="s">
        <v>1594</v>
      </c>
      <c r="E592" s="1" t="s">
        <v>104</v>
      </c>
      <c r="F592" s="1">
        <v>1136.0</v>
      </c>
      <c r="G592" s="1" t="s">
        <v>78</v>
      </c>
      <c r="H592" s="1">
        <v>1331.0</v>
      </c>
      <c r="I592" s="1" t="s">
        <v>21</v>
      </c>
      <c r="J592" s="1" t="s">
        <v>51</v>
      </c>
      <c r="K592" s="1">
        <v>-22.395804</v>
      </c>
      <c r="L592" s="1">
        <v>-41.773572</v>
      </c>
      <c r="M592" s="1">
        <v>2.0</v>
      </c>
      <c r="Q592" s="1">
        <f t="shared" si="1"/>
        <v>0</v>
      </c>
    </row>
    <row r="593" ht="15.75" customHeight="1">
      <c r="A593" s="1" t="s">
        <v>1595</v>
      </c>
      <c r="B593" s="2">
        <v>45847.0</v>
      </c>
      <c r="C593" s="1" t="s">
        <v>379</v>
      </c>
      <c r="D593" s="1" t="s">
        <v>1594</v>
      </c>
      <c r="E593" s="1" t="s">
        <v>59</v>
      </c>
      <c r="F593" s="1">
        <v>1790.0</v>
      </c>
      <c r="G593" s="1" t="s">
        <v>1596</v>
      </c>
      <c r="H593" s="1">
        <v>15886.0</v>
      </c>
      <c r="I593" s="1" t="s">
        <v>21</v>
      </c>
      <c r="J593" s="1" t="s">
        <v>22</v>
      </c>
      <c r="K593" s="1">
        <v>-22.386916</v>
      </c>
      <c r="L593" s="1">
        <v>-41.798315</v>
      </c>
      <c r="M593" s="1">
        <v>4.0</v>
      </c>
      <c r="Q593" s="1">
        <f t="shared" si="1"/>
        <v>0</v>
      </c>
    </row>
    <row r="594" ht="15.75" customHeight="1">
      <c r="A594" s="1" t="s">
        <v>1597</v>
      </c>
      <c r="B594" s="2">
        <v>46075.0</v>
      </c>
      <c r="C594" s="1" t="s">
        <v>395</v>
      </c>
      <c r="D594" s="1" t="s">
        <v>1598</v>
      </c>
      <c r="E594" s="1" t="s">
        <v>44</v>
      </c>
      <c r="F594" s="1">
        <v>5506.0</v>
      </c>
      <c r="G594" s="1" t="s">
        <v>1599</v>
      </c>
      <c r="H594" s="1">
        <v>14180.0</v>
      </c>
      <c r="I594" s="1" t="s">
        <v>21</v>
      </c>
      <c r="J594" s="1" t="s">
        <v>86</v>
      </c>
      <c r="K594" s="1">
        <v>-22.392331</v>
      </c>
      <c r="L594" s="1">
        <v>-41.727015</v>
      </c>
      <c r="M594" s="1">
        <v>0.0</v>
      </c>
      <c r="Q594" s="1">
        <f t="shared" si="1"/>
        <v>0</v>
      </c>
    </row>
    <row r="595" ht="15.75" customHeight="1">
      <c r="A595" s="1" t="s">
        <v>1600</v>
      </c>
      <c r="B595" s="2">
        <v>46098.0</v>
      </c>
      <c r="C595" s="1" t="s">
        <v>1267</v>
      </c>
      <c r="D595" s="1" t="s">
        <v>1598</v>
      </c>
      <c r="E595" s="1" t="s">
        <v>436</v>
      </c>
      <c r="F595" s="1">
        <v>2975.0</v>
      </c>
      <c r="G595" s="1" t="s">
        <v>152</v>
      </c>
      <c r="H595" s="1">
        <v>10890.0</v>
      </c>
      <c r="I595" s="1" t="s">
        <v>21</v>
      </c>
      <c r="J595" s="1" t="s">
        <v>51</v>
      </c>
      <c r="K595" s="1">
        <v>-22.430753</v>
      </c>
      <c r="L595" s="1">
        <v>-41.747222</v>
      </c>
      <c r="M595" s="1">
        <v>1.0</v>
      </c>
      <c r="Q595" s="1">
        <f t="shared" si="1"/>
        <v>0</v>
      </c>
    </row>
    <row r="596" ht="15.75" customHeight="1">
      <c r="A596" s="1" t="s">
        <v>1601</v>
      </c>
      <c r="B596" s="2">
        <v>45952.0</v>
      </c>
      <c r="C596" s="1" t="s">
        <v>687</v>
      </c>
      <c r="D596" s="1" t="s">
        <v>1598</v>
      </c>
      <c r="E596" s="1" t="s">
        <v>64</v>
      </c>
      <c r="F596" s="1">
        <v>1136.0</v>
      </c>
      <c r="G596" s="1" t="s">
        <v>210</v>
      </c>
      <c r="H596" s="1">
        <v>2724.0</v>
      </c>
      <c r="I596" s="1" t="s">
        <v>198</v>
      </c>
      <c r="J596" s="1" t="s">
        <v>34</v>
      </c>
      <c r="K596" s="1">
        <v>-22.388362</v>
      </c>
      <c r="L596" s="1">
        <v>-41.711043</v>
      </c>
      <c r="M596" s="1">
        <v>2.0</v>
      </c>
      <c r="Q596" s="1">
        <f t="shared" si="1"/>
        <v>2724</v>
      </c>
    </row>
    <row r="597" ht="15.75" customHeight="1">
      <c r="A597" s="1" t="s">
        <v>1602</v>
      </c>
      <c r="B597" s="2">
        <v>45659.0</v>
      </c>
      <c r="C597" s="1" t="s">
        <v>540</v>
      </c>
      <c r="D597" s="1" t="s">
        <v>1603</v>
      </c>
      <c r="E597" s="1" t="s">
        <v>210</v>
      </c>
      <c r="F597" s="1">
        <v>1588.0</v>
      </c>
      <c r="G597" s="1" t="s">
        <v>1604</v>
      </c>
      <c r="H597" s="1">
        <v>6564.0</v>
      </c>
      <c r="I597" s="1" t="s">
        <v>198</v>
      </c>
      <c r="J597" s="1" t="s">
        <v>51</v>
      </c>
      <c r="K597" s="1">
        <v>-22.390926</v>
      </c>
      <c r="L597" s="1">
        <v>-41.725321</v>
      </c>
      <c r="M597" s="1">
        <v>0.0</v>
      </c>
      <c r="Q597" s="1">
        <f t="shared" si="1"/>
        <v>6564</v>
      </c>
    </row>
    <row r="598" ht="15.75" customHeight="1">
      <c r="A598" s="1" t="s">
        <v>1605</v>
      </c>
      <c r="B598" s="2">
        <v>45912.0</v>
      </c>
      <c r="C598" s="1" t="s">
        <v>1122</v>
      </c>
      <c r="D598" s="1" t="s">
        <v>1603</v>
      </c>
      <c r="E598" s="1" t="s">
        <v>314</v>
      </c>
      <c r="F598" s="1">
        <v>1790.0</v>
      </c>
      <c r="G598" s="1" t="s">
        <v>1606</v>
      </c>
      <c r="H598" s="1">
        <v>7489.0</v>
      </c>
      <c r="I598" s="1" t="s">
        <v>21</v>
      </c>
      <c r="J598" s="1" t="s">
        <v>40</v>
      </c>
      <c r="K598" s="1">
        <v>-22.426914</v>
      </c>
      <c r="L598" s="1">
        <v>-41.775</v>
      </c>
      <c r="M598" s="1">
        <v>1.0</v>
      </c>
      <c r="Q598" s="1">
        <f t="shared" si="1"/>
        <v>0</v>
      </c>
    </row>
    <row r="599" ht="15.75" customHeight="1">
      <c r="A599" s="1" t="s">
        <v>1607</v>
      </c>
      <c r="B599" s="2">
        <v>45941.0</v>
      </c>
      <c r="C599" s="1" t="s">
        <v>630</v>
      </c>
      <c r="D599" s="1" t="s">
        <v>1608</v>
      </c>
      <c r="E599" s="1" t="s">
        <v>297</v>
      </c>
      <c r="F599" s="1">
        <v>1136.0</v>
      </c>
      <c r="G599" s="1" t="s">
        <v>1609</v>
      </c>
      <c r="H599" s="1">
        <v>14218.0</v>
      </c>
      <c r="I599" s="1" t="s">
        <v>21</v>
      </c>
      <c r="J599" s="1" t="s">
        <v>40</v>
      </c>
      <c r="K599" s="1">
        <v>-22.384815</v>
      </c>
      <c r="L599" s="1">
        <v>-41.728276</v>
      </c>
      <c r="M599" s="1">
        <v>0.0</v>
      </c>
      <c r="Q599" s="1">
        <f t="shared" si="1"/>
        <v>0</v>
      </c>
    </row>
    <row r="600" ht="15.75" customHeight="1">
      <c r="A600" s="1" t="s">
        <v>1610</v>
      </c>
      <c r="B600" s="2">
        <v>46115.0</v>
      </c>
      <c r="C600" s="1" t="s">
        <v>1278</v>
      </c>
      <c r="D600" s="1" t="s">
        <v>1611</v>
      </c>
      <c r="E600" s="1" t="s">
        <v>104</v>
      </c>
      <c r="F600" s="1">
        <v>1136.0</v>
      </c>
      <c r="G600" s="1" t="s">
        <v>1612</v>
      </c>
      <c r="H600" s="1">
        <v>4784.0</v>
      </c>
      <c r="I600" s="1" t="s">
        <v>21</v>
      </c>
      <c r="J600" s="1" t="s">
        <v>28</v>
      </c>
      <c r="K600" s="1">
        <v>-22.377569</v>
      </c>
      <c r="L600" s="1">
        <v>-41.72144</v>
      </c>
      <c r="M600" s="1">
        <v>1.0</v>
      </c>
      <c r="Q600" s="1">
        <f t="shared" si="1"/>
        <v>0</v>
      </c>
    </row>
    <row r="601" ht="15.75" customHeight="1">
      <c r="A601" s="1" t="s">
        <v>1613</v>
      </c>
      <c r="B601" s="2">
        <v>46112.0</v>
      </c>
      <c r="C601" s="1" t="s">
        <v>268</v>
      </c>
      <c r="D601" s="1" t="s">
        <v>1614</v>
      </c>
      <c r="E601" s="1" t="s">
        <v>136</v>
      </c>
      <c r="F601" s="1">
        <v>1588.0</v>
      </c>
      <c r="G601" s="1" t="s">
        <v>1615</v>
      </c>
      <c r="H601" s="1">
        <v>15981.0</v>
      </c>
      <c r="I601" s="1" t="s">
        <v>198</v>
      </c>
      <c r="J601" s="1" t="s">
        <v>28</v>
      </c>
      <c r="K601" s="1">
        <v>-22.429322</v>
      </c>
      <c r="L601" s="1">
        <v>-41.764682</v>
      </c>
      <c r="M601" s="1">
        <v>1.0</v>
      </c>
      <c r="Q601" s="1">
        <f t="shared" si="1"/>
        <v>15981</v>
      </c>
    </row>
    <row r="602" ht="15.75" customHeight="1">
      <c r="A602" s="1" t="s">
        <v>1616</v>
      </c>
      <c r="B602" s="2">
        <v>45708.0</v>
      </c>
      <c r="C602" s="1" t="s">
        <v>900</v>
      </c>
      <c r="D602" s="1" t="s">
        <v>1614</v>
      </c>
      <c r="E602" s="1" t="s">
        <v>409</v>
      </c>
      <c r="F602" s="1">
        <v>1136.0</v>
      </c>
      <c r="G602" s="1" t="s">
        <v>1617</v>
      </c>
      <c r="H602" s="1">
        <v>2347.0</v>
      </c>
      <c r="I602" s="1" t="s">
        <v>198</v>
      </c>
      <c r="J602" s="1" t="s">
        <v>40</v>
      </c>
      <c r="K602" s="1">
        <v>-22.406671</v>
      </c>
      <c r="L602" s="1">
        <v>-41.784139</v>
      </c>
      <c r="M602" s="1">
        <v>2.0</v>
      </c>
      <c r="Q602" s="1">
        <f t="shared" si="1"/>
        <v>2347</v>
      </c>
    </row>
    <row r="603" ht="15.75" customHeight="1">
      <c r="A603" s="1" t="s">
        <v>1618</v>
      </c>
      <c r="B603" s="2">
        <v>46081.0</v>
      </c>
      <c r="C603" s="1" t="s">
        <v>381</v>
      </c>
      <c r="D603" s="1" t="s">
        <v>1614</v>
      </c>
      <c r="E603" s="1" t="s">
        <v>90</v>
      </c>
      <c r="F603" s="1">
        <v>9435.0</v>
      </c>
      <c r="G603" s="1" t="s">
        <v>1619</v>
      </c>
      <c r="H603" s="1">
        <v>25854.0</v>
      </c>
      <c r="I603" s="1" t="s">
        <v>21</v>
      </c>
      <c r="J603" s="1" t="s">
        <v>86</v>
      </c>
      <c r="K603" s="1">
        <v>-22.43593</v>
      </c>
      <c r="L603" s="1">
        <v>-41.772067</v>
      </c>
      <c r="M603" s="1">
        <v>0.0</v>
      </c>
      <c r="Q603" s="1">
        <f t="shared" si="1"/>
        <v>0</v>
      </c>
    </row>
    <row r="604" ht="15.75" customHeight="1">
      <c r="A604" s="1" t="s">
        <v>1620</v>
      </c>
      <c r="B604" s="2">
        <v>46123.0</v>
      </c>
      <c r="C604" s="1" t="s">
        <v>134</v>
      </c>
      <c r="D604" s="1" t="s">
        <v>1614</v>
      </c>
      <c r="E604" s="1" t="s">
        <v>130</v>
      </c>
      <c r="F604" s="1">
        <v>13257.0</v>
      </c>
      <c r="G604" s="1" t="s">
        <v>78</v>
      </c>
      <c r="H604" s="1">
        <v>13452.0</v>
      </c>
      <c r="I604" s="1" t="s">
        <v>21</v>
      </c>
      <c r="J604" s="1" t="s">
        <v>86</v>
      </c>
      <c r="K604" s="1">
        <v>-22.385575</v>
      </c>
      <c r="L604" s="1">
        <v>-41.755066</v>
      </c>
      <c r="M604" s="1">
        <v>2.0</v>
      </c>
      <c r="Q604" s="1">
        <f t="shared" si="1"/>
        <v>0</v>
      </c>
    </row>
    <row r="605" ht="15.75" customHeight="1">
      <c r="A605" s="1" t="s">
        <v>1621</v>
      </c>
      <c r="B605" s="2">
        <v>46149.0</v>
      </c>
      <c r="C605" s="1" t="s">
        <v>369</v>
      </c>
      <c r="D605" s="1" t="s">
        <v>1614</v>
      </c>
      <c r="E605" s="1" t="s">
        <v>197</v>
      </c>
      <c r="F605" s="1">
        <v>195.0</v>
      </c>
      <c r="G605" s="1" t="s">
        <v>1622</v>
      </c>
      <c r="H605" s="1">
        <v>4493.0</v>
      </c>
      <c r="I605" s="1" t="s">
        <v>21</v>
      </c>
      <c r="J605" s="1" t="s">
        <v>205</v>
      </c>
      <c r="K605" s="1">
        <v>-22.359519</v>
      </c>
      <c r="L605" s="1">
        <v>-41.798285</v>
      </c>
      <c r="M605" s="1">
        <v>1.0</v>
      </c>
      <c r="Q605" s="1">
        <f t="shared" si="1"/>
        <v>0</v>
      </c>
    </row>
    <row r="606" ht="15.75" customHeight="1">
      <c r="A606" s="1" t="s">
        <v>1623</v>
      </c>
      <c r="B606" s="2">
        <v>45770.0</v>
      </c>
      <c r="C606" s="1" t="s">
        <v>1408</v>
      </c>
      <c r="D606" s="1" t="s">
        <v>1624</v>
      </c>
      <c r="E606" s="1" t="s">
        <v>33</v>
      </c>
      <c r="F606" s="1">
        <v>821.0</v>
      </c>
      <c r="G606" s="1" t="s">
        <v>1625</v>
      </c>
      <c r="H606" s="1">
        <v>5133.0</v>
      </c>
      <c r="I606" s="1" t="s">
        <v>21</v>
      </c>
      <c r="J606" s="1" t="s">
        <v>80</v>
      </c>
      <c r="K606" s="1">
        <v>-22.397797</v>
      </c>
      <c r="L606" s="1">
        <v>-41.731009</v>
      </c>
      <c r="M606" s="1">
        <v>2.0</v>
      </c>
      <c r="Q606" s="1">
        <f t="shared" si="1"/>
        <v>0</v>
      </c>
    </row>
    <row r="607" ht="15.75" customHeight="1">
      <c r="A607" s="1" t="s">
        <v>1626</v>
      </c>
      <c r="B607" s="2">
        <v>45722.0</v>
      </c>
      <c r="C607" s="1" t="s">
        <v>1627</v>
      </c>
      <c r="D607" s="1" t="s">
        <v>1624</v>
      </c>
      <c r="E607" s="1" t="s">
        <v>197</v>
      </c>
      <c r="F607" s="1">
        <v>195.0</v>
      </c>
      <c r="G607" s="1" t="s">
        <v>1628</v>
      </c>
      <c r="H607" s="1">
        <v>9803.0</v>
      </c>
      <c r="I607" s="1" t="s">
        <v>21</v>
      </c>
      <c r="J607" s="1" t="s">
        <v>22</v>
      </c>
      <c r="K607" s="1">
        <v>-22.425877</v>
      </c>
      <c r="L607" s="1">
        <v>-41.771719</v>
      </c>
      <c r="M607" s="1">
        <v>4.0</v>
      </c>
      <c r="Q607" s="1">
        <f t="shared" si="1"/>
        <v>0</v>
      </c>
    </row>
    <row r="608" ht="15.75" customHeight="1">
      <c r="A608" s="1" t="s">
        <v>1629</v>
      </c>
      <c r="B608" s="2">
        <v>46166.0</v>
      </c>
      <c r="C608" s="1" t="s">
        <v>1408</v>
      </c>
      <c r="D608" s="1" t="s">
        <v>1630</v>
      </c>
      <c r="E608" s="1" t="s">
        <v>33</v>
      </c>
      <c r="F608" s="1">
        <v>821.0</v>
      </c>
      <c r="G608" s="1" t="s">
        <v>1631</v>
      </c>
      <c r="H608" s="1">
        <v>11092.0</v>
      </c>
      <c r="I608" s="1" t="s">
        <v>21</v>
      </c>
      <c r="J608" s="1" t="s">
        <v>40</v>
      </c>
      <c r="K608" s="1">
        <v>-22.43509</v>
      </c>
      <c r="L608" s="1">
        <v>-41.798043</v>
      </c>
      <c r="M608" s="1">
        <v>4.0</v>
      </c>
      <c r="Q608" s="1">
        <f t="shared" si="1"/>
        <v>0</v>
      </c>
    </row>
    <row r="609" ht="15.75" customHeight="1">
      <c r="A609" s="1" t="s">
        <v>1632</v>
      </c>
      <c r="B609" s="2">
        <v>46150.0</v>
      </c>
      <c r="C609" s="1" t="s">
        <v>30</v>
      </c>
      <c r="D609" s="1" t="s">
        <v>1633</v>
      </c>
      <c r="E609" s="1" t="s">
        <v>32</v>
      </c>
      <c r="F609" s="1">
        <v>1059.0</v>
      </c>
      <c r="G609" s="1" t="s">
        <v>1634</v>
      </c>
      <c r="H609" s="1">
        <v>6689.0</v>
      </c>
      <c r="I609" s="1" t="s">
        <v>21</v>
      </c>
      <c r="J609" s="1" t="s">
        <v>28</v>
      </c>
      <c r="K609" s="1">
        <v>-22.439153</v>
      </c>
      <c r="L609" s="1">
        <v>-41.769366</v>
      </c>
      <c r="M609" s="1">
        <v>1.0</v>
      </c>
      <c r="Q609" s="1">
        <f t="shared" si="1"/>
        <v>0</v>
      </c>
    </row>
    <row r="610" ht="15.75" customHeight="1">
      <c r="A610" s="1" t="s">
        <v>1635</v>
      </c>
      <c r="B610" s="2">
        <v>46069.0</v>
      </c>
      <c r="C610" s="1" t="s">
        <v>134</v>
      </c>
      <c r="D610" s="1" t="s">
        <v>1633</v>
      </c>
      <c r="E610" s="1" t="s">
        <v>130</v>
      </c>
      <c r="F610" s="1">
        <v>13257.0</v>
      </c>
      <c r="G610" s="1" t="s">
        <v>1636</v>
      </c>
      <c r="H610" s="1">
        <v>15040.0</v>
      </c>
      <c r="I610" s="1" t="s">
        <v>21</v>
      </c>
      <c r="J610" s="1" t="s">
        <v>80</v>
      </c>
      <c r="K610" s="1">
        <v>-22.440391</v>
      </c>
      <c r="L610" s="1">
        <v>-41.752815</v>
      </c>
      <c r="M610" s="1">
        <v>4.0</v>
      </c>
      <c r="Q610" s="1">
        <f t="shared" si="1"/>
        <v>0</v>
      </c>
    </row>
    <row r="611" ht="15.75" customHeight="1">
      <c r="A611" s="1" t="s">
        <v>1637</v>
      </c>
      <c r="B611" s="2">
        <v>46002.0</v>
      </c>
      <c r="C611" s="1" t="s">
        <v>1267</v>
      </c>
      <c r="D611" s="1" t="s">
        <v>1633</v>
      </c>
      <c r="E611" s="1" t="s">
        <v>436</v>
      </c>
      <c r="F611" s="1">
        <v>2975.0</v>
      </c>
      <c r="G611" s="1" t="s">
        <v>65</v>
      </c>
      <c r="H611" s="1">
        <v>6815.0</v>
      </c>
      <c r="I611" s="1" t="s">
        <v>21</v>
      </c>
      <c r="J611" s="1" t="s">
        <v>205</v>
      </c>
      <c r="K611" s="1">
        <v>-22.374107</v>
      </c>
      <c r="L611" s="1">
        <v>-41.746751</v>
      </c>
      <c r="M611" s="1">
        <v>2.0</v>
      </c>
      <c r="Q611" s="1">
        <f t="shared" si="1"/>
        <v>0</v>
      </c>
    </row>
    <row r="612" ht="15.75" customHeight="1">
      <c r="A612" s="1" t="s">
        <v>1638</v>
      </c>
      <c r="B612" s="2">
        <v>45736.0</v>
      </c>
      <c r="C612" s="1" t="s">
        <v>955</v>
      </c>
      <c r="D612" s="1" t="s">
        <v>1633</v>
      </c>
      <c r="E612" s="1" t="s">
        <v>78</v>
      </c>
      <c r="F612" s="1">
        <v>195.0</v>
      </c>
      <c r="G612" s="1" t="s">
        <v>130</v>
      </c>
      <c r="H612" s="1">
        <v>13452.0</v>
      </c>
      <c r="I612" s="1" t="s">
        <v>21</v>
      </c>
      <c r="J612" s="1" t="s">
        <v>28</v>
      </c>
      <c r="K612" s="1">
        <v>-22.42687</v>
      </c>
      <c r="L612" s="1">
        <v>-41.713345</v>
      </c>
      <c r="M612" s="1">
        <v>0.0</v>
      </c>
      <c r="Q612" s="1">
        <f t="shared" si="1"/>
        <v>0</v>
      </c>
    </row>
    <row r="613" ht="15.75" customHeight="1">
      <c r="A613" s="1" t="s">
        <v>1639</v>
      </c>
      <c r="B613" s="2">
        <v>45763.0</v>
      </c>
      <c r="C613" s="1" t="s">
        <v>395</v>
      </c>
      <c r="D613" s="1" t="s">
        <v>1633</v>
      </c>
      <c r="E613" s="1" t="s">
        <v>44</v>
      </c>
      <c r="F613" s="1">
        <v>5506.0</v>
      </c>
      <c r="G613" s="1" t="s">
        <v>1640</v>
      </c>
      <c r="H613" s="1">
        <v>19822.0</v>
      </c>
      <c r="I613" s="1" t="s">
        <v>21</v>
      </c>
      <c r="J613" s="1" t="s">
        <v>205</v>
      </c>
      <c r="K613" s="1">
        <v>-22.378157</v>
      </c>
      <c r="L613" s="1">
        <v>-41.777927</v>
      </c>
      <c r="M613" s="1">
        <v>4.0</v>
      </c>
      <c r="Q613" s="1">
        <f t="shared" si="1"/>
        <v>0</v>
      </c>
    </row>
    <row r="614" ht="15.75" customHeight="1">
      <c r="A614" s="1" t="s">
        <v>1641</v>
      </c>
      <c r="B614" s="2">
        <v>45695.0</v>
      </c>
      <c r="C614" s="1" t="s">
        <v>395</v>
      </c>
      <c r="D614" s="1" t="s">
        <v>1642</v>
      </c>
      <c r="E614" s="1" t="s">
        <v>44</v>
      </c>
      <c r="F614" s="1">
        <v>5506.0</v>
      </c>
      <c r="G614" s="1" t="s">
        <v>177</v>
      </c>
      <c r="H614" s="1">
        <v>8777.0</v>
      </c>
      <c r="I614" s="1" t="s">
        <v>21</v>
      </c>
      <c r="J614" s="1" t="s">
        <v>40</v>
      </c>
      <c r="K614" s="1">
        <v>-22.35818</v>
      </c>
      <c r="L614" s="1">
        <v>-41.759086</v>
      </c>
      <c r="M614" s="1">
        <v>2.0</v>
      </c>
      <c r="Q614" s="1">
        <f t="shared" si="1"/>
        <v>0</v>
      </c>
    </row>
    <row r="615" ht="15.75" customHeight="1">
      <c r="A615" s="1" t="s">
        <v>1643</v>
      </c>
      <c r="B615" s="2">
        <v>46006.0</v>
      </c>
      <c r="C615" s="1" t="s">
        <v>369</v>
      </c>
      <c r="D615" s="1" t="s">
        <v>1642</v>
      </c>
      <c r="E615" s="1" t="s">
        <v>197</v>
      </c>
      <c r="F615" s="1">
        <v>195.0</v>
      </c>
      <c r="G615" s="1" t="s">
        <v>1644</v>
      </c>
      <c r="H615" s="1">
        <v>8110.0</v>
      </c>
      <c r="I615" s="1" t="s">
        <v>21</v>
      </c>
      <c r="J615" s="1" t="s">
        <v>22</v>
      </c>
      <c r="K615" s="1">
        <v>-22.440649</v>
      </c>
      <c r="L615" s="1">
        <v>-41.774968</v>
      </c>
      <c r="M615" s="1">
        <v>1.0</v>
      </c>
      <c r="Q615" s="1">
        <f t="shared" si="1"/>
        <v>0</v>
      </c>
    </row>
    <row r="616" ht="15.75" customHeight="1">
      <c r="A616" s="1" t="s">
        <v>1645</v>
      </c>
      <c r="B616" s="2">
        <v>45941.0</v>
      </c>
      <c r="C616" s="1" t="s">
        <v>462</v>
      </c>
      <c r="D616" s="1" t="s">
        <v>1642</v>
      </c>
      <c r="E616" s="1" t="s">
        <v>95</v>
      </c>
      <c r="F616" s="1">
        <v>1588.0</v>
      </c>
      <c r="G616" s="1" t="s">
        <v>1646</v>
      </c>
      <c r="H616" s="1">
        <v>6057.0</v>
      </c>
      <c r="I616" s="1" t="s">
        <v>198</v>
      </c>
      <c r="J616" s="1" t="s">
        <v>28</v>
      </c>
      <c r="K616" s="1">
        <v>-22.38427</v>
      </c>
      <c r="L616" s="1">
        <v>-41.730413</v>
      </c>
      <c r="M616" s="1">
        <v>4.0</v>
      </c>
      <c r="Q616" s="1">
        <f t="shared" si="1"/>
        <v>6057</v>
      </c>
    </row>
    <row r="617" ht="15.75" customHeight="1">
      <c r="A617" s="1" t="s">
        <v>1647</v>
      </c>
      <c r="B617" s="2">
        <v>45760.0</v>
      </c>
      <c r="C617" s="1" t="s">
        <v>1278</v>
      </c>
      <c r="D617" s="1" t="s">
        <v>1648</v>
      </c>
      <c r="E617" s="1" t="s">
        <v>104</v>
      </c>
      <c r="F617" s="1">
        <v>1136.0</v>
      </c>
      <c r="G617" s="1" t="s">
        <v>1649</v>
      </c>
      <c r="H617" s="1">
        <v>15981.0</v>
      </c>
      <c r="I617" s="1" t="s">
        <v>198</v>
      </c>
      <c r="J617" s="1" t="s">
        <v>34</v>
      </c>
      <c r="K617" s="1">
        <v>-22.357519</v>
      </c>
      <c r="L617" s="1">
        <v>-41.772233</v>
      </c>
      <c r="M617" s="1">
        <v>0.0</v>
      </c>
      <c r="Q617" s="1">
        <f t="shared" si="1"/>
        <v>15981</v>
      </c>
    </row>
    <row r="618" ht="15.75" customHeight="1">
      <c r="A618" s="1" t="s">
        <v>1650</v>
      </c>
      <c r="B618" s="2">
        <v>45685.0</v>
      </c>
      <c r="C618" s="1" t="s">
        <v>1144</v>
      </c>
      <c r="D618" s="1" t="s">
        <v>1648</v>
      </c>
      <c r="E618" s="1" t="s">
        <v>130</v>
      </c>
      <c r="F618" s="1">
        <v>13257.0</v>
      </c>
      <c r="G618" s="1" t="s">
        <v>1651</v>
      </c>
      <c r="H618" s="1">
        <v>20720.0</v>
      </c>
      <c r="I618" s="1" t="s">
        <v>21</v>
      </c>
      <c r="J618" s="1" t="s">
        <v>40</v>
      </c>
      <c r="K618" s="1">
        <v>-22.38327</v>
      </c>
      <c r="L618" s="1">
        <v>-41.780746</v>
      </c>
      <c r="M618" s="1">
        <v>0.0</v>
      </c>
      <c r="Q618" s="1">
        <f t="shared" si="1"/>
        <v>0</v>
      </c>
    </row>
    <row r="619" ht="15.75" customHeight="1">
      <c r="A619" s="1" t="s">
        <v>1652</v>
      </c>
      <c r="B619" s="2">
        <v>45858.0</v>
      </c>
      <c r="C619" s="1" t="s">
        <v>113</v>
      </c>
      <c r="D619" s="1" t="s">
        <v>1648</v>
      </c>
      <c r="E619" s="1" t="s">
        <v>69</v>
      </c>
      <c r="F619" s="1">
        <v>4825.0</v>
      </c>
      <c r="G619" s="1" t="s">
        <v>297</v>
      </c>
      <c r="H619" s="1">
        <v>5961.0</v>
      </c>
      <c r="I619" s="1" t="s">
        <v>21</v>
      </c>
      <c r="J619" s="1" t="s">
        <v>34</v>
      </c>
      <c r="K619" s="1">
        <v>-22.436737</v>
      </c>
      <c r="L619" s="1">
        <v>-41.753914</v>
      </c>
      <c r="M619" s="1">
        <v>1.0</v>
      </c>
      <c r="Q619" s="1">
        <f t="shared" si="1"/>
        <v>0</v>
      </c>
    </row>
    <row r="620" ht="15.75" customHeight="1">
      <c r="A620" s="1" t="s">
        <v>1653</v>
      </c>
      <c r="B620" s="2">
        <v>45690.0</v>
      </c>
      <c r="C620" s="1" t="s">
        <v>1654</v>
      </c>
      <c r="D620" s="1" t="s">
        <v>1648</v>
      </c>
      <c r="E620" s="1" t="s">
        <v>409</v>
      </c>
      <c r="F620" s="1">
        <v>1136.0</v>
      </c>
      <c r="G620" s="1" t="s">
        <v>1655</v>
      </c>
      <c r="H620" s="1">
        <v>6564.0</v>
      </c>
      <c r="I620" s="1" t="s">
        <v>21</v>
      </c>
      <c r="J620" s="1" t="s">
        <v>34</v>
      </c>
      <c r="K620" s="1">
        <v>-22.413336</v>
      </c>
      <c r="L620" s="1">
        <v>-41.724341</v>
      </c>
      <c r="M620" s="1">
        <v>0.0</v>
      </c>
      <c r="Q620" s="1">
        <f t="shared" si="1"/>
        <v>0</v>
      </c>
    </row>
    <row r="621" ht="15.75" customHeight="1">
      <c r="A621" s="1" t="s">
        <v>1656</v>
      </c>
      <c r="B621" s="2">
        <v>46143.0</v>
      </c>
      <c r="C621" s="1" t="s">
        <v>1515</v>
      </c>
      <c r="D621" s="1" t="s">
        <v>1648</v>
      </c>
      <c r="E621" s="1" t="s">
        <v>26</v>
      </c>
      <c r="F621" s="1">
        <v>13257.0</v>
      </c>
      <c r="G621" s="1" t="s">
        <v>1657</v>
      </c>
      <c r="H621" s="1">
        <v>25192.0</v>
      </c>
      <c r="I621" s="1" t="s">
        <v>21</v>
      </c>
      <c r="J621" s="1" t="s">
        <v>40</v>
      </c>
      <c r="K621" s="1">
        <v>-22.432862</v>
      </c>
      <c r="L621" s="1">
        <v>-41.796487</v>
      </c>
      <c r="M621" s="1">
        <v>3.0</v>
      </c>
      <c r="Q621" s="1">
        <f t="shared" si="1"/>
        <v>0</v>
      </c>
    </row>
    <row r="622" ht="15.75" customHeight="1">
      <c r="A622" s="1" t="s">
        <v>1658</v>
      </c>
      <c r="B622" s="2">
        <v>45874.0</v>
      </c>
      <c r="C622" s="1" t="s">
        <v>785</v>
      </c>
      <c r="D622" s="1" t="s">
        <v>1648</v>
      </c>
      <c r="E622" s="1" t="s">
        <v>60</v>
      </c>
      <c r="F622" s="1">
        <v>2456.0</v>
      </c>
      <c r="G622" s="1" t="s">
        <v>1659</v>
      </c>
      <c r="H622" s="1">
        <v>25342.0</v>
      </c>
      <c r="I622" s="1" t="s">
        <v>21</v>
      </c>
      <c r="J622" s="1" t="s">
        <v>28</v>
      </c>
      <c r="K622" s="1">
        <v>-22.408495</v>
      </c>
      <c r="L622" s="1">
        <v>-41.756538</v>
      </c>
      <c r="M622" s="1">
        <v>0.0</v>
      </c>
      <c r="Q622" s="1">
        <f t="shared" si="1"/>
        <v>0</v>
      </c>
    </row>
    <row r="623" ht="15.75" customHeight="1">
      <c r="A623" s="1" t="s">
        <v>1660</v>
      </c>
      <c r="B623" s="2">
        <v>46121.0</v>
      </c>
      <c r="C623" s="1" t="s">
        <v>113</v>
      </c>
      <c r="D623" s="1" t="s">
        <v>1661</v>
      </c>
      <c r="E623" s="1" t="s">
        <v>69</v>
      </c>
      <c r="F623" s="1">
        <v>4825.0</v>
      </c>
      <c r="G623" s="1" t="s">
        <v>1662</v>
      </c>
      <c r="H623" s="1">
        <v>10331.0</v>
      </c>
      <c r="I623" s="1" t="s">
        <v>198</v>
      </c>
      <c r="J623" s="1" t="s">
        <v>34</v>
      </c>
      <c r="K623" s="1">
        <v>-22.354638</v>
      </c>
      <c r="L623" s="1">
        <v>-41.757511</v>
      </c>
      <c r="M623" s="1">
        <v>1.0</v>
      </c>
      <c r="Q623" s="1">
        <f t="shared" si="1"/>
        <v>10331</v>
      </c>
    </row>
    <row r="624" ht="15.75" customHeight="1">
      <c r="A624" s="1" t="s">
        <v>1663</v>
      </c>
      <c r="B624" s="2">
        <v>45877.0</v>
      </c>
      <c r="C624" s="1" t="s">
        <v>1147</v>
      </c>
      <c r="D624" s="1" t="s">
        <v>1664</v>
      </c>
      <c r="E624" s="1" t="s">
        <v>70</v>
      </c>
      <c r="F624" s="1">
        <v>3840.0</v>
      </c>
      <c r="G624" s="1" t="s">
        <v>1665</v>
      </c>
      <c r="H624" s="1">
        <v>12055.0</v>
      </c>
      <c r="I624" s="1" t="s">
        <v>198</v>
      </c>
      <c r="J624" s="1" t="s">
        <v>34</v>
      </c>
      <c r="K624" s="1">
        <v>-22.409418</v>
      </c>
      <c r="L624" s="1">
        <v>-41.762447</v>
      </c>
      <c r="M624" s="1">
        <v>0.0</v>
      </c>
      <c r="Q624" s="1">
        <f t="shared" si="1"/>
        <v>12055</v>
      </c>
    </row>
    <row r="625" ht="15.75" customHeight="1">
      <c r="A625" s="1" t="s">
        <v>1666</v>
      </c>
      <c r="B625" s="2">
        <v>45787.0</v>
      </c>
      <c r="C625" s="1" t="s">
        <v>522</v>
      </c>
      <c r="D625" s="1" t="s">
        <v>1667</v>
      </c>
      <c r="E625" s="1" t="s">
        <v>356</v>
      </c>
      <c r="F625" s="1">
        <v>0.0</v>
      </c>
      <c r="G625" s="1" t="s">
        <v>1668</v>
      </c>
      <c r="H625" s="1">
        <v>11023.0</v>
      </c>
      <c r="I625" s="1" t="s">
        <v>21</v>
      </c>
      <c r="J625" s="1" t="s">
        <v>34</v>
      </c>
      <c r="K625" s="1">
        <v>-22.3763</v>
      </c>
      <c r="L625" s="1">
        <v>-41.746646</v>
      </c>
      <c r="M625" s="1">
        <v>0.0</v>
      </c>
      <c r="Q625" s="1">
        <f t="shared" si="1"/>
        <v>0</v>
      </c>
    </row>
    <row r="626" ht="15.75" customHeight="1">
      <c r="A626" s="1" t="s">
        <v>1669</v>
      </c>
      <c r="B626" s="2">
        <v>45712.0</v>
      </c>
      <c r="C626" s="1" t="s">
        <v>1670</v>
      </c>
      <c r="D626" s="1" t="s">
        <v>1671</v>
      </c>
      <c r="E626" s="1" t="s">
        <v>344</v>
      </c>
      <c r="F626" s="1">
        <v>2512.0</v>
      </c>
      <c r="G626" s="1" t="s">
        <v>1672</v>
      </c>
      <c r="H626" s="1">
        <v>5431.0</v>
      </c>
      <c r="I626" s="1" t="s">
        <v>21</v>
      </c>
      <c r="J626" s="1" t="s">
        <v>28</v>
      </c>
      <c r="K626" s="1">
        <v>-22.396097</v>
      </c>
      <c r="L626" s="1">
        <v>-41.77682</v>
      </c>
      <c r="M626" s="1">
        <v>4.0</v>
      </c>
      <c r="Q626" s="1">
        <f t="shared" si="1"/>
        <v>0</v>
      </c>
    </row>
    <row r="627" ht="15.75" customHeight="1">
      <c r="A627" s="1" t="s">
        <v>1673</v>
      </c>
      <c r="B627" s="2">
        <v>45905.0</v>
      </c>
      <c r="C627" s="1" t="s">
        <v>313</v>
      </c>
      <c r="D627" s="1" t="s">
        <v>1671</v>
      </c>
      <c r="E627" s="1" t="s">
        <v>314</v>
      </c>
      <c r="F627" s="1">
        <v>1790.0</v>
      </c>
      <c r="G627" s="1" t="s">
        <v>90</v>
      </c>
      <c r="H627" s="1">
        <v>11225.0</v>
      </c>
      <c r="I627" s="1" t="s">
        <v>21</v>
      </c>
      <c r="J627" s="1" t="s">
        <v>22</v>
      </c>
      <c r="K627" s="1">
        <v>-22.416089</v>
      </c>
      <c r="L627" s="1">
        <v>-41.746243</v>
      </c>
      <c r="M627" s="1">
        <v>4.0</v>
      </c>
      <c r="Q627" s="1">
        <f t="shared" si="1"/>
        <v>0</v>
      </c>
    </row>
    <row r="628" ht="15.75" customHeight="1">
      <c r="A628" s="1" t="s">
        <v>1674</v>
      </c>
      <c r="B628" s="2">
        <v>45840.0</v>
      </c>
      <c r="C628" s="1" t="s">
        <v>53</v>
      </c>
      <c r="D628" s="1" t="s">
        <v>1675</v>
      </c>
      <c r="E628" s="1" t="s">
        <v>55</v>
      </c>
      <c r="F628" s="1">
        <v>2409.0</v>
      </c>
      <c r="G628" s="1" t="s">
        <v>1676</v>
      </c>
      <c r="H628" s="1">
        <v>9051.0</v>
      </c>
      <c r="I628" s="1" t="s">
        <v>21</v>
      </c>
      <c r="J628" s="1" t="s">
        <v>51</v>
      </c>
      <c r="K628" s="1">
        <v>-22.400949</v>
      </c>
      <c r="L628" s="1">
        <v>-41.71621</v>
      </c>
      <c r="M628" s="1">
        <v>0.0</v>
      </c>
      <c r="Q628" s="1">
        <f t="shared" si="1"/>
        <v>0</v>
      </c>
    </row>
    <row r="629" ht="15.75" customHeight="1">
      <c r="A629" s="1" t="s">
        <v>1677</v>
      </c>
      <c r="B629" s="2">
        <v>45809.0</v>
      </c>
      <c r="C629" s="1" t="s">
        <v>1122</v>
      </c>
      <c r="D629" s="1" t="s">
        <v>1675</v>
      </c>
      <c r="E629" s="1" t="s">
        <v>314</v>
      </c>
      <c r="F629" s="1">
        <v>1790.0</v>
      </c>
      <c r="G629" s="1" t="s">
        <v>256</v>
      </c>
      <c r="H629" s="1">
        <v>4302.0</v>
      </c>
      <c r="I629" s="1" t="s">
        <v>21</v>
      </c>
      <c r="J629" s="1" t="s">
        <v>205</v>
      </c>
      <c r="K629" s="1">
        <v>-22.442856</v>
      </c>
      <c r="L629" s="1">
        <v>-41.727908</v>
      </c>
      <c r="M629" s="1">
        <v>4.0</v>
      </c>
      <c r="Q629" s="1">
        <f t="shared" si="1"/>
        <v>0</v>
      </c>
    </row>
    <row r="630" ht="15.75" customHeight="1">
      <c r="A630" s="1" t="s">
        <v>1678</v>
      </c>
      <c r="B630" s="2">
        <v>45826.0</v>
      </c>
      <c r="C630" s="1" t="s">
        <v>716</v>
      </c>
      <c r="D630" s="1" t="s">
        <v>1675</v>
      </c>
      <c r="E630" s="1" t="s">
        <v>356</v>
      </c>
      <c r="F630" s="1">
        <v>0.0</v>
      </c>
      <c r="G630" s="1" t="s">
        <v>49</v>
      </c>
      <c r="H630" s="1">
        <v>8020.0</v>
      </c>
      <c r="I630" s="1" t="s">
        <v>198</v>
      </c>
      <c r="J630" s="1" t="s">
        <v>80</v>
      </c>
      <c r="K630" s="1">
        <v>-22.447004</v>
      </c>
      <c r="L630" s="1">
        <v>-41.723452</v>
      </c>
      <c r="M630" s="1">
        <v>2.0</v>
      </c>
      <c r="Q630" s="1">
        <f t="shared" si="1"/>
        <v>8020</v>
      </c>
    </row>
    <row r="631" ht="15.75" customHeight="1">
      <c r="A631" s="1" t="s">
        <v>1679</v>
      </c>
      <c r="B631" s="2">
        <v>45741.0</v>
      </c>
      <c r="C631" s="1" t="s">
        <v>509</v>
      </c>
      <c r="D631" s="1" t="s">
        <v>1680</v>
      </c>
      <c r="E631" s="1" t="s">
        <v>19</v>
      </c>
      <c r="F631" s="1">
        <v>1136.0</v>
      </c>
      <c r="G631" s="1" t="s">
        <v>1681</v>
      </c>
      <c r="H631" s="1">
        <v>6306.0</v>
      </c>
      <c r="I631" s="1" t="s">
        <v>21</v>
      </c>
      <c r="J631" s="1" t="s">
        <v>34</v>
      </c>
      <c r="K631" s="1">
        <v>-22.401922</v>
      </c>
      <c r="L631" s="1">
        <v>-41.719463</v>
      </c>
      <c r="M631" s="1">
        <v>0.0</v>
      </c>
      <c r="Q631" s="1">
        <f t="shared" si="1"/>
        <v>0</v>
      </c>
    </row>
    <row r="632" ht="15.75" customHeight="1">
      <c r="A632" s="1" t="s">
        <v>1682</v>
      </c>
      <c r="B632" s="2">
        <v>45811.0</v>
      </c>
      <c r="C632" s="1" t="s">
        <v>390</v>
      </c>
      <c r="D632" s="1" t="s">
        <v>1683</v>
      </c>
      <c r="E632" s="1" t="s">
        <v>392</v>
      </c>
      <c r="F632" s="1">
        <v>2512.0</v>
      </c>
      <c r="G632" s="1" t="s">
        <v>1684</v>
      </c>
      <c r="H632" s="1">
        <v>14671.0</v>
      </c>
      <c r="I632" s="1" t="s">
        <v>21</v>
      </c>
      <c r="J632" s="1" t="s">
        <v>80</v>
      </c>
      <c r="K632" s="1">
        <v>-22.412095</v>
      </c>
      <c r="L632" s="1">
        <v>-41.788484</v>
      </c>
      <c r="M632" s="1">
        <v>2.0</v>
      </c>
      <c r="Q632" s="1">
        <f t="shared" si="1"/>
        <v>0</v>
      </c>
    </row>
    <row r="633" ht="15.75" customHeight="1">
      <c r="A633" s="1" t="s">
        <v>1685</v>
      </c>
      <c r="B633" s="2">
        <v>45809.0</v>
      </c>
      <c r="C633" s="1" t="s">
        <v>914</v>
      </c>
      <c r="D633" s="1" t="s">
        <v>1683</v>
      </c>
      <c r="E633" s="1" t="s">
        <v>50</v>
      </c>
      <c r="F633" s="1">
        <v>1588.0</v>
      </c>
      <c r="G633" s="1" t="s">
        <v>1686</v>
      </c>
      <c r="H633" s="1">
        <v>11984.0</v>
      </c>
      <c r="I633" s="1" t="s">
        <v>21</v>
      </c>
      <c r="J633" s="1" t="s">
        <v>205</v>
      </c>
      <c r="K633" s="1">
        <v>-22.421282</v>
      </c>
      <c r="L633" s="1">
        <v>-41.747778</v>
      </c>
      <c r="M633" s="1">
        <v>4.0</v>
      </c>
      <c r="Q633" s="1">
        <f t="shared" si="1"/>
        <v>0</v>
      </c>
    </row>
    <row r="634" ht="15.75" customHeight="1">
      <c r="A634" s="1" t="s">
        <v>1687</v>
      </c>
      <c r="B634" s="2">
        <v>45701.0</v>
      </c>
      <c r="C634" s="1" t="s">
        <v>1688</v>
      </c>
      <c r="D634" s="1" t="s">
        <v>1689</v>
      </c>
      <c r="E634" s="1" t="s">
        <v>121</v>
      </c>
      <c r="F634" s="1">
        <v>7364.0</v>
      </c>
      <c r="G634" s="1" t="s">
        <v>436</v>
      </c>
      <c r="H634" s="1">
        <v>10339.0</v>
      </c>
      <c r="I634" s="1" t="s">
        <v>198</v>
      </c>
      <c r="J634" s="1" t="s">
        <v>51</v>
      </c>
      <c r="K634" s="1">
        <v>-22.403113</v>
      </c>
      <c r="L634" s="1">
        <v>-41.749286</v>
      </c>
      <c r="M634" s="1">
        <v>2.0</v>
      </c>
      <c r="Q634" s="1">
        <f t="shared" si="1"/>
        <v>10339</v>
      </c>
    </row>
    <row r="635" ht="15.75" customHeight="1">
      <c r="A635" s="1" t="s">
        <v>1690</v>
      </c>
      <c r="B635" s="2">
        <v>45660.0</v>
      </c>
      <c r="C635" s="1" t="s">
        <v>744</v>
      </c>
      <c r="D635" s="1" t="s">
        <v>1689</v>
      </c>
      <c r="E635" s="1" t="s">
        <v>315</v>
      </c>
      <c r="F635" s="1">
        <v>821.0</v>
      </c>
      <c r="G635" s="1" t="s">
        <v>297</v>
      </c>
      <c r="H635" s="1">
        <v>1957.0</v>
      </c>
      <c r="I635" s="1" t="s">
        <v>21</v>
      </c>
      <c r="J635" s="1" t="s">
        <v>34</v>
      </c>
      <c r="K635" s="1">
        <v>-22.41221</v>
      </c>
      <c r="L635" s="1">
        <v>-41.736333</v>
      </c>
      <c r="M635" s="1">
        <v>2.0</v>
      </c>
      <c r="Q635" s="1">
        <f t="shared" si="1"/>
        <v>0</v>
      </c>
    </row>
    <row r="636" ht="15.75" customHeight="1">
      <c r="A636" s="1" t="s">
        <v>1691</v>
      </c>
      <c r="B636" s="2">
        <v>46072.0</v>
      </c>
      <c r="C636" s="1" t="s">
        <v>548</v>
      </c>
      <c r="D636" s="1" t="s">
        <v>1692</v>
      </c>
      <c r="E636" s="1" t="s">
        <v>84</v>
      </c>
      <c r="F636" s="1">
        <v>9435.0</v>
      </c>
      <c r="G636" s="1" t="s">
        <v>1693</v>
      </c>
      <c r="H636" s="1">
        <v>12597.0</v>
      </c>
      <c r="I636" s="1" t="s">
        <v>21</v>
      </c>
      <c r="J636" s="1" t="s">
        <v>22</v>
      </c>
      <c r="K636" s="1">
        <v>-22.42642</v>
      </c>
      <c r="L636" s="1">
        <v>-41.785073</v>
      </c>
      <c r="M636" s="1">
        <v>3.0</v>
      </c>
      <c r="Q636" s="1">
        <f t="shared" si="1"/>
        <v>0</v>
      </c>
    </row>
    <row r="637" ht="15.75" customHeight="1">
      <c r="A637" s="1" t="s">
        <v>1694</v>
      </c>
      <c r="B637" s="2">
        <v>46032.0</v>
      </c>
      <c r="C637" s="1" t="s">
        <v>385</v>
      </c>
      <c r="D637" s="1" t="s">
        <v>1695</v>
      </c>
      <c r="E637" s="1" t="s">
        <v>197</v>
      </c>
      <c r="F637" s="1">
        <v>195.0</v>
      </c>
      <c r="G637" s="1" t="s">
        <v>1696</v>
      </c>
      <c r="H637" s="1">
        <v>8894.0</v>
      </c>
      <c r="I637" s="1" t="s">
        <v>21</v>
      </c>
      <c r="J637" s="1" t="s">
        <v>28</v>
      </c>
      <c r="K637" s="1">
        <v>-22.371486</v>
      </c>
      <c r="L637" s="1">
        <v>-41.762467</v>
      </c>
      <c r="M637" s="1">
        <v>2.0</v>
      </c>
      <c r="Q637" s="1">
        <f t="shared" si="1"/>
        <v>0</v>
      </c>
    </row>
    <row r="638" ht="15.75" customHeight="1">
      <c r="A638" s="1" t="s">
        <v>1697</v>
      </c>
      <c r="B638" s="2">
        <v>46074.0</v>
      </c>
      <c r="C638" s="1" t="s">
        <v>516</v>
      </c>
      <c r="D638" s="1" t="s">
        <v>1695</v>
      </c>
      <c r="E638" s="1" t="s">
        <v>297</v>
      </c>
      <c r="F638" s="1">
        <v>1136.0</v>
      </c>
      <c r="G638" s="1" t="s">
        <v>1698</v>
      </c>
      <c r="H638" s="1">
        <v>13278.0</v>
      </c>
      <c r="I638" s="1" t="s">
        <v>21</v>
      </c>
      <c r="J638" s="1" t="s">
        <v>34</v>
      </c>
      <c r="K638" s="1">
        <v>-22.408982</v>
      </c>
      <c r="L638" s="1">
        <v>-41.714397</v>
      </c>
      <c r="M638" s="1">
        <v>1.0</v>
      </c>
      <c r="Q638" s="1">
        <f t="shared" si="1"/>
        <v>0</v>
      </c>
    </row>
    <row r="639" ht="15.75" customHeight="1">
      <c r="A639" s="1" t="s">
        <v>1699</v>
      </c>
      <c r="B639" s="2">
        <v>45847.0</v>
      </c>
      <c r="C639" s="1" t="s">
        <v>1700</v>
      </c>
      <c r="D639" s="1" t="s">
        <v>1701</v>
      </c>
      <c r="E639" s="1" t="s">
        <v>32</v>
      </c>
      <c r="F639" s="1">
        <v>1059.0</v>
      </c>
      <c r="G639" s="1" t="s">
        <v>1702</v>
      </c>
      <c r="H639" s="1">
        <v>5170.0</v>
      </c>
      <c r="I639" s="1" t="s">
        <v>21</v>
      </c>
      <c r="J639" s="1" t="s">
        <v>22</v>
      </c>
      <c r="K639" s="1">
        <v>-22.443929</v>
      </c>
      <c r="L639" s="1">
        <v>-41.719801</v>
      </c>
      <c r="M639" s="1">
        <v>1.0</v>
      </c>
      <c r="Q639" s="1">
        <f t="shared" si="1"/>
        <v>0</v>
      </c>
    </row>
    <row r="640" ht="15.75" customHeight="1">
      <c r="A640" s="1" t="s">
        <v>1703</v>
      </c>
      <c r="B640" s="2">
        <v>45663.0</v>
      </c>
      <c r="C640" s="1" t="s">
        <v>675</v>
      </c>
      <c r="D640" s="1" t="s">
        <v>1704</v>
      </c>
      <c r="E640" s="1" t="s">
        <v>344</v>
      </c>
      <c r="F640" s="1">
        <v>2512.0</v>
      </c>
      <c r="G640" s="1" t="s">
        <v>1705</v>
      </c>
      <c r="H640" s="1">
        <v>2707.0</v>
      </c>
      <c r="I640" s="1" t="s">
        <v>21</v>
      </c>
      <c r="J640" s="1" t="s">
        <v>86</v>
      </c>
      <c r="K640" s="1">
        <v>-22.353785</v>
      </c>
      <c r="L640" s="1">
        <v>-41.735622</v>
      </c>
      <c r="M640" s="1">
        <v>2.0</v>
      </c>
      <c r="Q640" s="1">
        <f t="shared" si="1"/>
        <v>0</v>
      </c>
    </row>
    <row r="641" ht="15.75" customHeight="1">
      <c r="A641" s="1" t="s">
        <v>1706</v>
      </c>
      <c r="B641" s="2">
        <v>46045.0</v>
      </c>
      <c r="C641" s="1" t="s">
        <v>358</v>
      </c>
      <c r="D641" s="1" t="s">
        <v>1707</v>
      </c>
      <c r="E641" s="1" t="s">
        <v>32</v>
      </c>
      <c r="F641" s="1">
        <v>1059.0</v>
      </c>
      <c r="G641" s="1" t="s">
        <v>1708</v>
      </c>
      <c r="H641" s="1">
        <v>2075.0</v>
      </c>
      <c r="I641" s="1" t="s">
        <v>21</v>
      </c>
      <c r="J641" s="1" t="s">
        <v>22</v>
      </c>
      <c r="K641" s="1">
        <v>-22.410029</v>
      </c>
      <c r="L641" s="1">
        <v>-41.775777</v>
      </c>
      <c r="M641" s="1">
        <v>1.0</v>
      </c>
      <c r="Q641" s="1">
        <f t="shared" si="1"/>
        <v>0</v>
      </c>
    </row>
    <row r="642" ht="15.75" customHeight="1">
      <c r="A642" s="1" t="s">
        <v>1709</v>
      </c>
      <c r="B642" s="2">
        <v>45832.0</v>
      </c>
      <c r="C642" s="1" t="s">
        <v>1710</v>
      </c>
      <c r="D642" s="1" t="s">
        <v>1707</v>
      </c>
      <c r="E642" s="1" t="s">
        <v>121</v>
      </c>
      <c r="F642" s="1">
        <v>7364.0</v>
      </c>
      <c r="G642" s="1" t="s">
        <v>210</v>
      </c>
      <c r="H642" s="1">
        <v>8952.0</v>
      </c>
      <c r="I642" s="1" t="s">
        <v>198</v>
      </c>
      <c r="J642" s="1" t="s">
        <v>86</v>
      </c>
      <c r="K642" s="1">
        <v>-22.409236</v>
      </c>
      <c r="L642" s="1">
        <v>-41.784141</v>
      </c>
      <c r="M642" s="1">
        <v>4.0</v>
      </c>
      <c r="Q642" s="1">
        <f t="shared" si="1"/>
        <v>8952</v>
      </c>
    </row>
    <row r="643" ht="15.75" customHeight="1">
      <c r="A643" s="1" t="s">
        <v>1711</v>
      </c>
      <c r="B643" s="2">
        <v>45877.0</v>
      </c>
      <c r="C643" s="1" t="s">
        <v>1712</v>
      </c>
      <c r="D643" s="1" t="s">
        <v>1707</v>
      </c>
      <c r="E643" s="1" t="s">
        <v>33</v>
      </c>
      <c r="F643" s="1">
        <v>821.0</v>
      </c>
      <c r="G643" s="1" t="s">
        <v>1713</v>
      </c>
      <c r="H643" s="1">
        <v>5882.0</v>
      </c>
      <c r="I643" s="1" t="s">
        <v>198</v>
      </c>
      <c r="J643" s="1" t="s">
        <v>86</v>
      </c>
      <c r="K643" s="1">
        <v>-22.353923</v>
      </c>
      <c r="L643" s="1">
        <v>-41.774815</v>
      </c>
      <c r="M643" s="1">
        <v>0.0</v>
      </c>
      <c r="Q643" s="1">
        <f t="shared" si="1"/>
        <v>5882</v>
      </c>
    </row>
    <row r="644" ht="15.75" customHeight="1">
      <c r="A644" s="1" t="s">
        <v>1714</v>
      </c>
      <c r="B644" s="2">
        <v>46057.0</v>
      </c>
      <c r="C644" s="1" t="s">
        <v>874</v>
      </c>
      <c r="D644" s="1" t="s">
        <v>1707</v>
      </c>
      <c r="E644" s="1" t="s">
        <v>315</v>
      </c>
      <c r="F644" s="1">
        <v>821.0</v>
      </c>
      <c r="G644" s="1" t="s">
        <v>177</v>
      </c>
      <c r="H644" s="1">
        <v>4092.0</v>
      </c>
      <c r="I644" s="1" t="s">
        <v>198</v>
      </c>
      <c r="J644" s="1" t="s">
        <v>80</v>
      </c>
      <c r="K644" s="1">
        <v>-22.355386</v>
      </c>
      <c r="L644" s="1">
        <v>-41.762634</v>
      </c>
      <c r="M644" s="1">
        <v>1.0</v>
      </c>
      <c r="Q644" s="1">
        <f t="shared" si="1"/>
        <v>4092</v>
      </c>
    </row>
    <row r="645" ht="15.75" customHeight="1">
      <c r="A645" s="1" t="s">
        <v>1715</v>
      </c>
      <c r="B645" s="2">
        <v>45892.0</v>
      </c>
      <c r="C645" s="1" t="s">
        <v>320</v>
      </c>
      <c r="D645" s="1" t="s">
        <v>1707</v>
      </c>
      <c r="E645" s="1" t="s">
        <v>185</v>
      </c>
      <c r="F645" s="1">
        <v>3162.0</v>
      </c>
      <c r="G645" s="1" t="s">
        <v>60</v>
      </c>
      <c r="H645" s="1">
        <v>5618.0</v>
      </c>
      <c r="I645" s="1" t="s">
        <v>198</v>
      </c>
      <c r="J645" s="1" t="s">
        <v>80</v>
      </c>
      <c r="K645" s="1">
        <v>-22.395653</v>
      </c>
      <c r="L645" s="1">
        <v>-41.781304</v>
      </c>
      <c r="M645" s="1">
        <v>2.0</v>
      </c>
      <c r="Q645" s="1">
        <f t="shared" si="1"/>
        <v>5618</v>
      </c>
    </row>
    <row r="646" ht="15.75" customHeight="1">
      <c r="A646" s="1" t="s">
        <v>1716</v>
      </c>
      <c r="B646" s="2">
        <v>45973.0</v>
      </c>
      <c r="C646" s="1" t="s">
        <v>788</v>
      </c>
      <c r="D646" s="1" t="s">
        <v>1707</v>
      </c>
      <c r="E646" s="1" t="s">
        <v>436</v>
      </c>
      <c r="F646" s="1">
        <v>2975.0</v>
      </c>
      <c r="G646" s="1" t="s">
        <v>1717</v>
      </c>
      <c r="H646" s="1">
        <v>13741.0</v>
      </c>
      <c r="I646" s="1" t="s">
        <v>198</v>
      </c>
      <c r="J646" s="1" t="s">
        <v>86</v>
      </c>
      <c r="K646" s="1">
        <v>-22.363692</v>
      </c>
      <c r="L646" s="1">
        <v>-41.748702</v>
      </c>
      <c r="M646" s="1">
        <v>3.0</v>
      </c>
      <c r="Q646" s="1">
        <f t="shared" si="1"/>
        <v>13741</v>
      </c>
    </row>
    <row r="647" ht="15.75" customHeight="1">
      <c r="A647" s="1" t="s">
        <v>1718</v>
      </c>
      <c r="B647" s="2">
        <v>45905.0</v>
      </c>
      <c r="C647" s="1" t="s">
        <v>941</v>
      </c>
      <c r="D647" s="1" t="s">
        <v>1707</v>
      </c>
      <c r="E647" s="1" t="s">
        <v>305</v>
      </c>
      <c r="F647" s="1">
        <v>2059.0</v>
      </c>
      <c r="G647" s="1" t="s">
        <v>1719</v>
      </c>
      <c r="H647" s="1">
        <v>4977.0</v>
      </c>
      <c r="I647" s="1" t="s">
        <v>198</v>
      </c>
      <c r="J647" s="1" t="s">
        <v>28</v>
      </c>
      <c r="K647" s="1">
        <v>-22.366958</v>
      </c>
      <c r="L647" s="1">
        <v>-41.772457</v>
      </c>
      <c r="M647" s="1">
        <v>4.0</v>
      </c>
      <c r="Q647" s="1">
        <f t="shared" si="1"/>
        <v>4977</v>
      </c>
    </row>
    <row r="648" ht="15.75" customHeight="1">
      <c r="A648" s="1" t="s">
        <v>1720</v>
      </c>
      <c r="B648" s="2">
        <v>45696.0</v>
      </c>
      <c r="C648" s="1" t="s">
        <v>1122</v>
      </c>
      <c r="D648" s="1" t="s">
        <v>1721</v>
      </c>
      <c r="E648" s="1" t="s">
        <v>314</v>
      </c>
      <c r="F648" s="1">
        <v>1790.0</v>
      </c>
      <c r="G648" s="1" t="s">
        <v>1722</v>
      </c>
      <c r="H648" s="1">
        <v>14200.0</v>
      </c>
      <c r="I648" s="1" t="s">
        <v>198</v>
      </c>
      <c r="J648" s="1" t="s">
        <v>40</v>
      </c>
      <c r="K648" s="1">
        <v>-22.350687</v>
      </c>
      <c r="L648" s="1">
        <v>-41.770862</v>
      </c>
      <c r="M648" s="1">
        <v>2.0</v>
      </c>
      <c r="Q648" s="1">
        <f t="shared" si="1"/>
        <v>14200</v>
      </c>
    </row>
    <row r="649" ht="15.75" customHeight="1">
      <c r="A649" s="1" t="s">
        <v>1723</v>
      </c>
      <c r="B649" s="2">
        <v>45856.0</v>
      </c>
      <c r="C649" s="1" t="s">
        <v>395</v>
      </c>
      <c r="D649" s="1" t="s">
        <v>1724</v>
      </c>
      <c r="E649" s="1" t="s">
        <v>44</v>
      </c>
      <c r="F649" s="1">
        <v>5506.0</v>
      </c>
      <c r="G649" s="1" t="s">
        <v>290</v>
      </c>
      <c r="H649" s="1">
        <v>7094.0</v>
      </c>
      <c r="I649" s="1" t="s">
        <v>198</v>
      </c>
      <c r="J649" s="1" t="s">
        <v>86</v>
      </c>
      <c r="K649" s="1">
        <v>-22.391288</v>
      </c>
      <c r="L649" s="1">
        <v>-41.711652</v>
      </c>
      <c r="M649" s="1">
        <v>4.0</v>
      </c>
      <c r="Q649" s="1">
        <f t="shared" si="1"/>
        <v>7094</v>
      </c>
    </row>
    <row r="650" ht="15.75" customHeight="1">
      <c r="A650" s="1" t="s">
        <v>1725</v>
      </c>
      <c r="B650" s="2">
        <v>45750.0</v>
      </c>
      <c r="C650" s="1" t="s">
        <v>365</v>
      </c>
      <c r="D650" s="1" t="s">
        <v>1724</v>
      </c>
      <c r="E650" s="1" t="s">
        <v>344</v>
      </c>
      <c r="F650" s="1">
        <v>2512.0</v>
      </c>
      <c r="G650" s="1" t="s">
        <v>1726</v>
      </c>
      <c r="H650" s="1">
        <v>8158.0</v>
      </c>
      <c r="I650" s="1" t="s">
        <v>21</v>
      </c>
      <c r="J650" s="1" t="s">
        <v>205</v>
      </c>
      <c r="K650" s="1">
        <v>-22.397379</v>
      </c>
      <c r="L650" s="1">
        <v>-41.727875</v>
      </c>
      <c r="M650" s="1">
        <v>0.0</v>
      </c>
      <c r="Q650" s="1">
        <f t="shared" si="1"/>
        <v>0</v>
      </c>
    </row>
    <row r="651" ht="15.75" customHeight="1">
      <c r="A651" s="1" t="s">
        <v>1727</v>
      </c>
      <c r="B651" s="2">
        <v>45751.0</v>
      </c>
      <c r="C651" s="1" t="s">
        <v>365</v>
      </c>
      <c r="D651" s="1" t="s">
        <v>1724</v>
      </c>
      <c r="E651" s="1" t="s">
        <v>344</v>
      </c>
      <c r="F651" s="1">
        <v>2512.0</v>
      </c>
      <c r="G651" s="1" t="s">
        <v>1728</v>
      </c>
      <c r="H651" s="1">
        <v>21293.0</v>
      </c>
      <c r="I651" s="1" t="s">
        <v>21</v>
      </c>
      <c r="J651" s="1" t="s">
        <v>205</v>
      </c>
      <c r="K651" s="1">
        <v>-22.428322</v>
      </c>
      <c r="L651" s="1">
        <v>-41.759501</v>
      </c>
      <c r="M651" s="1">
        <v>1.0</v>
      </c>
      <c r="Q651" s="1">
        <f t="shared" si="1"/>
        <v>0</v>
      </c>
    </row>
    <row r="652" ht="15.75" customHeight="1">
      <c r="A652" s="1" t="s">
        <v>1729</v>
      </c>
      <c r="B652" s="2">
        <v>45693.0</v>
      </c>
      <c r="C652" s="1" t="s">
        <v>834</v>
      </c>
      <c r="D652" s="1" t="s">
        <v>1724</v>
      </c>
      <c r="E652" s="1" t="s">
        <v>49</v>
      </c>
      <c r="F652" s="1">
        <v>8020.0</v>
      </c>
      <c r="G652" s="1" t="s">
        <v>297</v>
      </c>
      <c r="H652" s="1">
        <v>9156.0</v>
      </c>
      <c r="I652" s="1" t="s">
        <v>198</v>
      </c>
      <c r="J652" s="1" t="s">
        <v>22</v>
      </c>
      <c r="K652" s="1">
        <v>-22.358187</v>
      </c>
      <c r="L652" s="1">
        <v>-41.738812</v>
      </c>
      <c r="M652" s="1">
        <v>0.0</v>
      </c>
      <c r="Q652" s="1">
        <f t="shared" si="1"/>
        <v>9156</v>
      </c>
    </row>
    <row r="653" ht="15.75" customHeight="1">
      <c r="A653" s="1" t="s">
        <v>1730</v>
      </c>
      <c r="B653" s="2">
        <v>46130.0</v>
      </c>
      <c r="C653" s="1" t="s">
        <v>914</v>
      </c>
      <c r="D653" s="1" t="s">
        <v>1724</v>
      </c>
      <c r="E653" s="1" t="s">
        <v>50</v>
      </c>
      <c r="F653" s="1">
        <v>1588.0</v>
      </c>
      <c r="G653" s="1" t="s">
        <v>1731</v>
      </c>
      <c r="H653" s="1">
        <v>12879.0</v>
      </c>
      <c r="I653" s="1" t="s">
        <v>21</v>
      </c>
      <c r="J653" s="1" t="s">
        <v>51</v>
      </c>
      <c r="K653" s="1">
        <v>-22.372109</v>
      </c>
      <c r="L653" s="1">
        <v>-41.727971</v>
      </c>
      <c r="M653" s="1">
        <v>4.0</v>
      </c>
      <c r="Q653" s="1">
        <f t="shared" si="1"/>
        <v>0</v>
      </c>
    </row>
    <row r="654" ht="15.75" customHeight="1">
      <c r="A654" s="1" t="s">
        <v>1732</v>
      </c>
      <c r="B654" s="2">
        <v>45871.0</v>
      </c>
      <c r="C654" s="1" t="s">
        <v>1733</v>
      </c>
      <c r="D654" s="1" t="s">
        <v>1734</v>
      </c>
      <c r="E654" s="1" t="s">
        <v>305</v>
      </c>
      <c r="F654" s="1">
        <v>2059.0</v>
      </c>
      <c r="G654" s="1" t="s">
        <v>104</v>
      </c>
      <c r="H654" s="1">
        <v>3195.0</v>
      </c>
      <c r="I654" s="1" t="s">
        <v>21</v>
      </c>
      <c r="J654" s="1" t="s">
        <v>40</v>
      </c>
      <c r="K654" s="1">
        <v>-22.391391</v>
      </c>
      <c r="L654" s="1">
        <v>-41.766541</v>
      </c>
      <c r="M654" s="1">
        <v>0.0</v>
      </c>
      <c r="Q654" s="1">
        <f t="shared" si="1"/>
        <v>0</v>
      </c>
    </row>
    <row r="655" ht="15.75" customHeight="1">
      <c r="A655" s="1" t="s">
        <v>1735</v>
      </c>
      <c r="B655" s="2">
        <v>45671.0</v>
      </c>
      <c r="C655" s="1" t="s">
        <v>208</v>
      </c>
      <c r="D655" s="1" t="s">
        <v>1736</v>
      </c>
      <c r="E655" s="1" t="s">
        <v>210</v>
      </c>
      <c r="F655" s="1">
        <v>1588.0</v>
      </c>
      <c r="G655" s="1" t="s">
        <v>115</v>
      </c>
      <c r="H655" s="1">
        <v>7094.0</v>
      </c>
      <c r="I655" s="1" t="s">
        <v>21</v>
      </c>
      <c r="J655" s="1" t="s">
        <v>51</v>
      </c>
      <c r="K655" s="1">
        <v>-22.416615</v>
      </c>
      <c r="L655" s="1">
        <v>-41.736317</v>
      </c>
      <c r="M655" s="1">
        <v>1.0</v>
      </c>
      <c r="Q655" s="1">
        <f t="shared" si="1"/>
        <v>0</v>
      </c>
    </row>
    <row r="656" ht="15.75" customHeight="1">
      <c r="A656" s="1" t="s">
        <v>1737</v>
      </c>
      <c r="B656" s="2">
        <v>46083.0</v>
      </c>
      <c r="C656" s="1" t="s">
        <v>955</v>
      </c>
      <c r="D656" s="1" t="s">
        <v>1736</v>
      </c>
      <c r="E656" s="1" t="s">
        <v>78</v>
      </c>
      <c r="F656" s="1">
        <v>195.0</v>
      </c>
      <c r="G656" s="1" t="s">
        <v>1738</v>
      </c>
      <c r="H656" s="1">
        <v>7197.0</v>
      </c>
      <c r="I656" s="1" t="s">
        <v>21</v>
      </c>
      <c r="J656" s="1" t="s">
        <v>34</v>
      </c>
      <c r="K656" s="1">
        <v>-22.410824</v>
      </c>
      <c r="L656" s="1">
        <v>-41.739026</v>
      </c>
      <c r="M656" s="1">
        <v>0.0</v>
      </c>
      <c r="Q656" s="1">
        <f t="shared" si="1"/>
        <v>0</v>
      </c>
    </row>
    <row r="657" ht="15.75" customHeight="1">
      <c r="A657" s="1" t="s">
        <v>1739</v>
      </c>
      <c r="B657" s="2">
        <v>45976.0</v>
      </c>
      <c r="C657" s="1" t="s">
        <v>1740</v>
      </c>
      <c r="D657" s="1" t="s">
        <v>1736</v>
      </c>
      <c r="E657" s="1" t="s">
        <v>64</v>
      </c>
      <c r="F657" s="1">
        <v>1136.0</v>
      </c>
      <c r="G657" s="1" t="s">
        <v>90</v>
      </c>
      <c r="H657" s="1">
        <v>10571.0</v>
      </c>
      <c r="I657" s="1" t="s">
        <v>21</v>
      </c>
      <c r="J657" s="1" t="s">
        <v>22</v>
      </c>
      <c r="K657" s="1">
        <v>-22.369149</v>
      </c>
      <c r="L657" s="1">
        <v>-41.712916</v>
      </c>
      <c r="M657" s="1">
        <v>4.0</v>
      </c>
      <c r="Q657" s="1">
        <f t="shared" si="1"/>
        <v>0</v>
      </c>
    </row>
    <row r="658" ht="15.75" customHeight="1">
      <c r="A658" s="1" t="s">
        <v>1741</v>
      </c>
      <c r="B658" s="2">
        <v>45889.0</v>
      </c>
      <c r="C658" s="1" t="s">
        <v>300</v>
      </c>
      <c r="D658" s="1" t="s">
        <v>1742</v>
      </c>
      <c r="E658" s="1" t="s">
        <v>38</v>
      </c>
      <c r="F658" s="1">
        <v>2975.0</v>
      </c>
      <c r="G658" s="1" t="s">
        <v>1743</v>
      </c>
      <c r="H658" s="1">
        <v>6331.0</v>
      </c>
      <c r="I658" s="1" t="s">
        <v>198</v>
      </c>
      <c r="J658" s="1" t="s">
        <v>51</v>
      </c>
      <c r="K658" s="1">
        <v>-22.397011</v>
      </c>
      <c r="L658" s="1">
        <v>-41.765705</v>
      </c>
      <c r="M658" s="1">
        <v>1.0</v>
      </c>
      <c r="Q658" s="1">
        <f t="shared" si="1"/>
        <v>6331</v>
      </c>
    </row>
    <row r="659" ht="15.75" customHeight="1">
      <c r="A659" s="1" t="s">
        <v>1744</v>
      </c>
      <c r="B659" s="2">
        <v>45819.0</v>
      </c>
      <c r="C659" s="1" t="s">
        <v>509</v>
      </c>
      <c r="D659" s="1" t="s">
        <v>1745</v>
      </c>
      <c r="E659" s="1" t="s">
        <v>19</v>
      </c>
      <c r="F659" s="1">
        <v>1136.0</v>
      </c>
      <c r="G659" s="1" t="s">
        <v>1746</v>
      </c>
      <c r="H659" s="1">
        <v>21958.0</v>
      </c>
      <c r="I659" s="1" t="s">
        <v>21</v>
      </c>
      <c r="J659" s="1" t="s">
        <v>28</v>
      </c>
      <c r="K659" s="1">
        <v>-22.44265</v>
      </c>
      <c r="L659" s="1">
        <v>-41.754871</v>
      </c>
      <c r="M659" s="1">
        <v>1.0</v>
      </c>
      <c r="Q659" s="1">
        <f t="shared" si="1"/>
        <v>0</v>
      </c>
    </row>
    <row r="660" ht="15.75" customHeight="1">
      <c r="A660" s="1" t="s">
        <v>1747</v>
      </c>
      <c r="B660" s="2">
        <v>45919.0</v>
      </c>
      <c r="C660" s="1" t="s">
        <v>1527</v>
      </c>
      <c r="D660" s="1" t="s">
        <v>1748</v>
      </c>
      <c r="E660" s="1" t="s">
        <v>65</v>
      </c>
      <c r="F660" s="1">
        <v>3840.0</v>
      </c>
      <c r="G660" s="1" t="s">
        <v>1749</v>
      </c>
      <c r="H660" s="1">
        <v>24461.0</v>
      </c>
      <c r="I660" s="1" t="s">
        <v>21</v>
      </c>
      <c r="J660" s="1" t="s">
        <v>86</v>
      </c>
      <c r="K660" s="1">
        <v>-22.436995</v>
      </c>
      <c r="L660" s="1">
        <v>-41.746389</v>
      </c>
      <c r="M660" s="1">
        <v>0.0</v>
      </c>
      <c r="Q660" s="1">
        <f t="shared" si="1"/>
        <v>0</v>
      </c>
    </row>
    <row r="661" ht="15.75" customHeight="1">
      <c r="A661" s="1" t="s">
        <v>1750</v>
      </c>
      <c r="B661" s="2">
        <v>45901.0</v>
      </c>
      <c r="C661" s="1" t="s">
        <v>630</v>
      </c>
      <c r="D661" s="1" t="s">
        <v>1751</v>
      </c>
      <c r="E661" s="1" t="s">
        <v>297</v>
      </c>
      <c r="F661" s="1">
        <v>1136.0</v>
      </c>
      <c r="G661" s="1" t="s">
        <v>1752</v>
      </c>
      <c r="H661" s="1">
        <v>4784.0</v>
      </c>
      <c r="I661" s="1" t="s">
        <v>198</v>
      </c>
      <c r="J661" s="1" t="s">
        <v>51</v>
      </c>
      <c r="K661" s="1">
        <v>-22.407133</v>
      </c>
      <c r="L661" s="1">
        <v>-41.703371</v>
      </c>
      <c r="M661" s="1">
        <v>3.0</v>
      </c>
      <c r="Q661" s="1">
        <f t="shared" si="1"/>
        <v>4784</v>
      </c>
    </row>
    <row r="662" ht="15.75" customHeight="1">
      <c r="A662" s="1" t="s">
        <v>1753</v>
      </c>
      <c r="B662" s="2">
        <v>45676.0</v>
      </c>
      <c r="C662" s="1" t="s">
        <v>630</v>
      </c>
      <c r="D662" s="1" t="s">
        <v>1751</v>
      </c>
      <c r="E662" s="1" t="s">
        <v>297</v>
      </c>
      <c r="F662" s="1">
        <v>1136.0</v>
      </c>
      <c r="G662" s="1" t="s">
        <v>1754</v>
      </c>
      <c r="H662" s="1">
        <v>7497.0</v>
      </c>
      <c r="I662" s="1" t="s">
        <v>198</v>
      </c>
      <c r="J662" s="1" t="s">
        <v>34</v>
      </c>
      <c r="K662" s="1">
        <v>-22.362517</v>
      </c>
      <c r="L662" s="1">
        <v>-41.794461</v>
      </c>
      <c r="M662" s="1">
        <v>0.0</v>
      </c>
      <c r="Q662" s="1">
        <f t="shared" si="1"/>
        <v>7497</v>
      </c>
    </row>
    <row r="663" ht="15.75" customHeight="1">
      <c r="A663" s="1" t="s">
        <v>1755</v>
      </c>
      <c r="B663" s="2">
        <v>45685.0</v>
      </c>
      <c r="C663" s="1" t="s">
        <v>395</v>
      </c>
      <c r="D663" s="1" t="s">
        <v>1751</v>
      </c>
      <c r="E663" s="1" t="s">
        <v>44</v>
      </c>
      <c r="F663" s="1">
        <v>5506.0</v>
      </c>
      <c r="G663" s="1" t="s">
        <v>1756</v>
      </c>
      <c r="H663" s="1">
        <v>8230.0</v>
      </c>
      <c r="I663" s="1" t="s">
        <v>21</v>
      </c>
      <c r="J663" s="1" t="s">
        <v>28</v>
      </c>
      <c r="K663" s="1">
        <v>-22.381509</v>
      </c>
      <c r="L663" s="1">
        <v>-41.792732</v>
      </c>
      <c r="M663" s="1">
        <v>3.0</v>
      </c>
      <c r="Q663" s="1">
        <f t="shared" si="1"/>
        <v>0</v>
      </c>
    </row>
    <row r="664" ht="15.75" customHeight="1">
      <c r="A664" s="1" t="s">
        <v>1757</v>
      </c>
      <c r="B664" s="2">
        <v>45918.0</v>
      </c>
      <c r="C664" s="1" t="s">
        <v>395</v>
      </c>
      <c r="D664" s="1" t="s">
        <v>1758</v>
      </c>
      <c r="E664" s="1" t="s">
        <v>44</v>
      </c>
      <c r="F664" s="1">
        <v>5506.0</v>
      </c>
      <c r="G664" s="1" t="s">
        <v>60</v>
      </c>
      <c r="H664" s="1">
        <v>7962.0</v>
      </c>
      <c r="I664" s="1" t="s">
        <v>21</v>
      </c>
      <c r="J664" s="1" t="s">
        <v>80</v>
      </c>
      <c r="K664" s="1">
        <v>-22.444795</v>
      </c>
      <c r="L664" s="1">
        <v>-41.757021</v>
      </c>
      <c r="M664" s="1">
        <v>2.0</v>
      </c>
      <c r="Q664" s="1">
        <f t="shared" si="1"/>
        <v>0</v>
      </c>
    </row>
    <row r="665" ht="15.75" customHeight="1">
      <c r="A665" s="1" t="s">
        <v>1759</v>
      </c>
      <c r="B665" s="2">
        <v>46155.0</v>
      </c>
      <c r="C665" s="1" t="s">
        <v>30</v>
      </c>
      <c r="D665" s="1" t="s">
        <v>1758</v>
      </c>
      <c r="E665" s="1" t="s">
        <v>32</v>
      </c>
      <c r="F665" s="1">
        <v>1059.0</v>
      </c>
      <c r="G665" s="1" t="s">
        <v>130</v>
      </c>
      <c r="H665" s="1">
        <v>14316.0</v>
      </c>
      <c r="I665" s="1" t="s">
        <v>21</v>
      </c>
      <c r="J665" s="1" t="s">
        <v>51</v>
      </c>
      <c r="K665" s="1">
        <v>-22.373695</v>
      </c>
      <c r="L665" s="1">
        <v>-41.735585</v>
      </c>
      <c r="M665" s="1">
        <v>3.0</v>
      </c>
      <c r="Q665" s="1">
        <f t="shared" si="1"/>
        <v>0</v>
      </c>
    </row>
    <row r="666" ht="15.75" customHeight="1">
      <c r="A666" s="1" t="s">
        <v>1760</v>
      </c>
      <c r="B666" s="2">
        <v>45699.0</v>
      </c>
      <c r="C666" s="1" t="s">
        <v>252</v>
      </c>
      <c r="D666" s="1" t="s">
        <v>1758</v>
      </c>
      <c r="E666" s="1" t="s">
        <v>163</v>
      </c>
      <c r="F666" s="1">
        <v>2059.0</v>
      </c>
      <c r="G666" s="1" t="s">
        <v>1761</v>
      </c>
      <c r="H666" s="1">
        <v>3842.0</v>
      </c>
      <c r="I666" s="1" t="s">
        <v>198</v>
      </c>
      <c r="J666" s="1" t="s">
        <v>34</v>
      </c>
      <c r="K666" s="1">
        <v>-22.419599</v>
      </c>
      <c r="L666" s="1">
        <v>-41.744547</v>
      </c>
      <c r="M666" s="1">
        <v>0.0</v>
      </c>
      <c r="Q666" s="1">
        <f t="shared" si="1"/>
        <v>3842</v>
      </c>
    </row>
    <row r="667" ht="15.75" customHeight="1">
      <c r="A667" s="1" t="s">
        <v>1762</v>
      </c>
      <c r="B667" s="2">
        <v>45901.0</v>
      </c>
      <c r="C667" s="1" t="s">
        <v>772</v>
      </c>
      <c r="D667" s="1" t="s">
        <v>1763</v>
      </c>
      <c r="E667" s="1" t="s">
        <v>305</v>
      </c>
      <c r="F667" s="1">
        <v>2059.0</v>
      </c>
      <c r="G667" s="1" t="s">
        <v>1764</v>
      </c>
      <c r="H667" s="1">
        <v>8874.0</v>
      </c>
      <c r="I667" s="1" t="s">
        <v>198</v>
      </c>
      <c r="J667" s="1" t="s">
        <v>28</v>
      </c>
      <c r="K667" s="1">
        <v>-22.409254</v>
      </c>
      <c r="L667" s="1">
        <v>-41.778804</v>
      </c>
      <c r="M667" s="1">
        <v>3.0</v>
      </c>
      <c r="Q667" s="1">
        <f t="shared" si="1"/>
        <v>8874</v>
      </c>
    </row>
    <row r="668" ht="15.75" customHeight="1">
      <c r="A668" s="1" t="s">
        <v>1765</v>
      </c>
      <c r="B668" s="2">
        <v>45762.0</v>
      </c>
      <c r="C668" s="1" t="s">
        <v>627</v>
      </c>
      <c r="D668" s="1" t="s">
        <v>1766</v>
      </c>
      <c r="E668" s="1" t="s">
        <v>256</v>
      </c>
      <c r="F668" s="1">
        <v>2512.0</v>
      </c>
      <c r="G668" s="1" t="s">
        <v>1767</v>
      </c>
      <c r="H668" s="1">
        <v>8864.0</v>
      </c>
      <c r="I668" s="1" t="s">
        <v>21</v>
      </c>
      <c r="J668" s="1" t="s">
        <v>205</v>
      </c>
      <c r="K668" s="1">
        <v>-22.380889</v>
      </c>
      <c r="L668" s="1">
        <v>-41.798195</v>
      </c>
      <c r="M668" s="1">
        <v>2.0</v>
      </c>
      <c r="Q668" s="1">
        <f t="shared" si="1"/>
        <v>0</v>
      </c>
    </row>
    <row r="669" ht="15.75" customHeight="1">
      <c r="A669" s="1" t="s">
        <v>1768</v>
      </c>
      <c r="B669" s="2">
        <v>45954.0</v>
      </c>
      <c r="C669" s="1" t="s">
        <v>1769</v>
      </c>
      <c r="D669" s="1" t="s">
        <v>1770</v>
      </c>
      <c r="E669" s="1" t="s">
        <v>90</v>
      </c>
      <c r="F669" s="1">
        <v>9435.0</v>
      </c>
      <c r="G669" s="1" t="s">
        <v>1771</v>
      </c>
      <c r="H669" s="1">
        <v>16084.0</v>
      </c>
      <c r="I669" s="1" t="s">
        <v>21</v>
      </c>
      <c r="J669" s="1" t="s">
        <v>28</v>
      </c>
      <c r="K669" s="1">
        <v>-22.356504</v>
      </c>
      <c r="L669" s="1">
        <v>-41.728535</v>
      </c>
      <c r="M669" s="1">
        <v>2.0</v>
      </c>
      <c r="Q669" s="1">
        <f t="shared" si="1"/>
        <v>0</v>
      </c>
    </row>
    <row r="670" ht="15.75" customHeight="1">
      <c r="A670" s="1" t="s">
        <v>1772</v>
      </c>
      <c r="B670" s="2">
        <v>46088.0</v>
      </c>
      <c r="C670" s="1" t="s">
        <v>1773</v>
      </c>
      <c r="D670" s="1" t="s">
        <v>1770</v>
      </c>
      <c r="E670" s="1" t="s">
        <v>392</v>
      </c>
      <c r="F670" s="1">
        <v>2512.0</v>
      </c>
      <c r="G670" s="1" t="s">
        <v>1774</v>
      </c>
      <c r="H670" s="1">
        <v>8925.0</v>
      </c>
      <c r="I670" s="1" t="s">
        <v>198</v>
      </c>
      <c r="J670" s="1" t="s">
        <v>51</v>
      </c>
      <c r="K670" s="1">
        <v>-22.363042</v>
      </c>
      <c r="L670" s="1">
        <v>-41.734323</v>
      </c>
      <c r="M670" s="1">
        <v>4.0</v>
      </c>
      <c r="Q670" s="1">
        <f t="shared" si="1"/>
        <v>8925</v>
      </c>
    </row>
    <row r="671" ht="15.75" customHeight="1">
      <c r="A671" s="1" t="s">
        <v>1775</v>
      </c>
      <c r="B671" s="2">
        <v>45806.0</v>
      </c>
      <c r="C671" s="1" t="s">
        <v>1776</v>
      </c>
      <c r="D671" s="1" t="s">
        <v>1770</v>
      </c>
      <c r="E671" s="1" t="s">
        <v>32</v>
      </c>
      <c r="F671" s="1">
        <v>1059.0</v>
      </c>
      <c r="G671" s="1" t="s">
        <v>1777</v>
      </c>
      <c r="H671" s="1">
        <v>15155.0</v>
      </c>
      <c r="I671" s="1" t="s">
        <v>198</v>
      </c>
      <c r="J671" s="1" t="s">
        <v>80</v>
      </c>
      <c r="K671" s="1">
        <v>-22.392072</v>
      </c>
      <c r="L671" s="1">
        <v>-41.736322</v>
      </c>
      <c r="M671" s="1">
        <v>4.0</v>
      </c>
      <c r="Q671" s="1">
        <f t="shared" si="1"/>
        <v>15155</v>
      </c>
    </row>
    <row r="672" ht="15.75" customHeight="1">
      <c r="A672" s="1" t="s">
        <v>1778</v>
      </c>
      <c r="B672" s="2">
        <v>45763.0</v>
      </c>
      <c r="C672" s="1" t="s">
        <v>644</v>
      </c>
      <c r="D672" s="1" t="s">
        <v>1779</v>
      </c>
      <c r="E672" s="1" t="s">
        <v>115</v>
      </c>
      <c r="F672" s="1">
        <v>5506.0</v>
      </c>
      <c r="G672" s="1" t="s">
        <v>163</v>
      </c>
      <c r="H672" s="1">
        <v>7565.0</v>
      </c>
      <c r="I672" s="1" t="s">
        <v>198</v>
      </c>
      <c r="J672" s="1" t="s">
        <v>40</v>
      </c>
      <c r="K672" s="1">
        <v>-22.37277</v>
      </c>
      <c r="L672" s="1">
        <v>-41.711266</v>
      </c>
      <c r="M672" s="1">
        <v>2.0</v>
      </c>
      <c r="Q672" s="1">
        <f t="shared" si="1"/>
        <v>7565</v>
      </c>
    </row>
    <row r="673" ht="15.75" customHeight="1">
      <c r="A673" s="1" t="s">
        <v>1780</v>
      </c>
      <c r="B673" s="2">
        <v>45886.0</v>
      </c>
      <c r="C673" s="1" t="s">
        <v>644</v>
      </c>
      <c r="D673" s="1" t="s">
        <v>1781</v>
      </c>
      <c r="E673" s="1" t="s">
        <v>115</v>
      </c>
      <c r="F673" s="1">
        <v>5506.0</v>
      </c>
      <c r="G673" s="1" t="s">
        <v>1782</v>
      </c>
      <c r="H673" s="1">
        <v>11131.0</v>
      </c>
      <c r="I673" s="1" t="s">
        <v>21</v>
      </c>
      <c r="J673" s="1" t="s">
        <v>28</v>
      </c>
      <c r="K673" s="1">
        <v>-22.372373</v>
      </c>
      <c r="L673" s="1">
        <v>-41.757013</v>
      </c>
      <c r="M673" s="1">
        <v>2.0</v>
      </c>
      <c r="Q673" s="1">
        <f t="shared" si="1"/>
        <v>0</v>
      </c>
    </row>
    <row r="674" ht="15.75" customHeight="1">
      <c r="A674" s="1" t="s">
        <v>1783</v>
      </c>
      <c r="B674" s="2">
        <v>46142.0</v>
      </c>
      <c r="C674" s="1" t="s">
        <v>644</v>
      </c>
      <c r="D674" s="1" t="s">
        <v>1784</v>
      </c>
      <c r="E674" s="1" t="s">
        <v>115</v>
      </c>
      <c r="F674" s="1">
        <v>5506.0</v>
      </c>
      <c r="G674" s="1" t="s">
        <v>1785</v>
      </c>
      <c r="H674" s="1">
        <v>19504.0</v>
      </c>
      <c r="I674" s="1" t="s">
        <v>21</v>
      </c>
      <c r="J674" s="1" t="s">
        <v>51</v>
      </c>
      <c r="K674" s="1">
        <v>-22.385976</v>
      </c>
      <c r="L674" s="1">
        <v>-41.754282</v>
      </c>
      <c r="M674" s="1">
        <v>1.0</v>
      </c>
      <c r="Q674" s="1">
        <f t="shared" si="1"/>
        <v>0</v>
      </c>
    </row>
    <row r="675" ht="15.75" customHeight="1">
      <c r="A675" s="1" t="s">
        <v>1786</v>
      </c>
      <c r="B675" s="2">
        <v>45836.0</v>
      </c>
      <c r="C675" s="1" t="s">
        <v>540</v>
      </c>
      <c r="D675" s="1" t="s">
        <v>1784</v>
      </c>
      <c r="E675" s="1" t="s">
        <v>210</v>
      </c>
      <c r="F675" s="1">
        <v>1588.0</v>
      </c>
      <c r="G675" s="1" t="s">
        <v>409</v>
      </c>
      <c r="H675" s="1">
        <v>2724.0</v>
      </c>
      <c r="I675" s="1" t="s">
        <v>198</v>
      </c>
      <c r="J675" s="1" t="s">
        <v>86</v>
      </c>
      <c r="K675" s="1">
        <v>-22.393834</v>
      </c>
      <c r="L675" s="1">
        <v>-41.700531</v>
      </c>
      <c r="M675" s="1">
        <v>1.0</v>
      </c>
      <c r="Q675" s="1">
        <f t="shared" si="1"/>
        <v>2724</v>
      </c>
    </row>
    <row r="676" ht="15.75" customHeight="1">
      <c r="A676" s="1" t="s">
        <v>1787</v>
      </c>
      <c r="B676" s="2">
        <v>45907.0</v>
      </c>
      <c r="C676" s="1" t="s">
        <v>402</v>
      </c>
      <c r="D676" s="1" t="s">
        <v>1784</v>
      </c>
      <c r="E676" s="1" t="s">
        <v>290</v>
      </c>
      <c r="F676" s="1">
        <v>1588.0</v>
      </c>
      <c r="G676" s="1" t="s">
        <v>1788</v>
      </c>
      <c r="H676" s="1">
        <v>10089.0</v>
      </c>
      <c r="I676" s="1" t="s">
        <v>198</v>
      </c>
      <c r="J676" s="1" t="s">
        <v>28</v>
      </c>
      <c r="K676" s="1">
        <v>-22.384274</v>
      </c>
      <c r="L676" s="1">
        <v>-41.743885</v>
      </c>
      <c r="M676" s="1">
        <v>4.0</v>
      </c>
      <c r="Q676" s="1">
        <f t="shared" si="1"/>
        <v>10089</v>
      </c>
    </row>
    <row r="677" ht="15.75" customHeight="1">
      <c r="A677" s="1" t="s">
        <v>1789</v>
      </c>
      <c r="B677" s="2">
        <v>45778.0</v>
      </c>
      <c r="C677" s="1" t="s">
        <v>203</v>
      </c>
      <c r="D677" s="1" t="s">
        <v>1790</v>
      </c>
      <c r="E677" s="1" t="s">
        <v>19</v>
      </c>
      <c r="F677" s="1">
        <v>1136.0</v>
      </c>
      <c r="G677" s="1" t="s">
        <v>1791</v>
      </c>
      <c r="H677" s="1">
        <v>3860.0</v>
      </c>
      <c r="I677" s="1" t="s">
        <v>198</v>
      </c>
      <c r="J677" s="1" t="s">
        <v>51</v>
      </c>
      <c r="K677" s="1">
        <v>-22.415866</v>
      </c>
      <c r="L677" s="1">
        <v>-41.745075</v>
      </c>
      <c r="M677" s="1">
        <v>1.0</v>
      </c>
      <c r="Q677" s="1">
        <f t="shared" si="1"/>
        <v>3860</v>
      </c>
    </row>
    <row r="678" ht="15.75" customHeight="1">
      <c r="A678" s="1" t="s">
        <v>1792</v>
      </c>
      <c r="B678" s="2">
        <v>46102.0</v>
      </c>
      <c r="C678" s="1" t="s">
        <v>1793</v>
      </c>
      <c r="D678" s="1" t="s">
        <v>1790</v>
      </c>
      <c r="E678" s="1" t="s">
        <v>163</v>
      </c>
      <c r="F678" s="1">
        <v>2059.0</v>
      </c>
      <c r="G678" s="1" t="s">
        <v>1794</v>
      </c>
      <c r="H678" s="1">
        <v>5235.0</v>
      </c>
      <c r="I678" s="1" t="s">
        <v>21</v>
      </c>
      <c r="J678" s="1" t="s">
        <v>22</v>
      </c>
      <c r="K678" s="1">
        <v>-22.37164</v>
      </c>
      <c r="L678" s="1">
        <v>-41.761757</v>
      </c>
      <c r="M678" s="1">
        <v>2.0</v>
      </c>
      <c r="Q678" s="1">
        <f t="shared" si="1"/>
        <v>0</v>
      </c>
    </row>
    <row r="679" ht="15.75" customHeight="1">
      <c r="A679" s="1" t="s">
        <v>1795</v>
      </c>
      <c r="B679" s="2">
        <v>45879.0</v>
      </c>
      <c r="C679" s="1" t="s">
        <v>1796</v>
      </c>
      <c r="D679" s="1" t="s">
        <v>1790</v>
      </c>
      <c r="E679" s="1" t="s">
        <v>177</v>
      </c>
      <c r="F679" s="1">
        <v>3271.0</v>
      </c>
      <c r="G679" s="1" t="s">
        <v>1797</v>
      </c>
      <c r="H679" s="1">
        <v>19040.0</v>
      </c>
      <c r="I679" s="1" t="s">
        <v>21</v>
      </c>
      <c r="J679" s="1" t="s">
        <v>205</v>
      </c>
      <c r="K679" s="1">
        <v>-22.369126</v>
      </c>
      <c r="L679" s="1">
        <v>-41.790175</v>
      </c>
      <c r="M679" s="1">
        <v>0.0</v>
      </c>
      <c r="Q679" s="1">
        <f t="shared" si="1"/>
        <v>0</v>
      </c>
    </row>
    <row r="680" ht="15.75" customHeight="1">
      <c r="A680" s="1" t="s">
        <v>1798</v>
      </c>
      <c r="B680" s="2">
        <v>46002.0</v>
      </c>
      <c r="C680" s="1" t="s">
        <v>1799</v>
      </c>
      <c r="D680" s="1" t="s">
        <v>1800</v>
      </c>
      <c r="E680" s="1" t="s">
        <v>163</v>
      </c>
      <c r="F680" s="1">
        <v>2059.0</v>
      </c>
      <c r="G680" s="1" t="s">
        <v>356</v>
      </c>
      <c r="H680" s="1">
        <v>2059.0</v>
      </c>
      <c r="I680" s="1" t="s">
        <v>198</v>
      </c>
      <c r="J680" s="1" t="s">
        <v>86</v>
      </c>
      <c r="K680" s="1">
        <v>-22.365669</v>
      </c>
      <c r="L680" s="1">
        <v>-41.722278</v>
      </c>
      <c r="M680" s="1">
        <v>0.0</v>
      </c>
      <c r="Q680" s="1">
        <f t="shared" si="1"/>
        <v>2059</v>
      </c>
    </row>
    <row r="681" ht="15.75" customHeight="1">
      <c r="A681" s="1" t="s">
        <v>1801</v>
      </c>
      <c r="B681" s="2">
        <v>45936.0</v>
      </c>
      <c r="C681" s="1" t="s">
        <v>1802</v>
      </c>
      <c r="D681" s="1" t="s">
        <v>1803</v>
      </c>
      <c r="E681" s="1" t="s">
        <v>504</v>
      </c>
      <c r="F681" s="1">
        <v>1136.0</v>
      </c>
      <c r="G681" s="1" t="s">
        <v>1804</v>
      </c>
      <c r="H681" s="1">
        <v>5604.0</v>
      </c>
      <c r="I681" s="1" t="s">
        <v>198</v>
      </c>
      <c r="J681" s="1" t="s">
        <v>40</v>
      </c>
      <c r="K681" s="1">
        <v>-22.366747</v>
      </c>
      <c r="L681" s="1">
        <v>-41.783575</v>
      </c>
      <c r="M681" s="1">
        <v>0.0</v>
      </c>
      <c r="Q681" s="1">
        <f t="shared" si="1"/>
        <v>5604</v>
      </c>
    </row>
    <row r="682" ht="15.75" customHeight="1">
      <c r="A682" s="1" t="s">
        <v>1805</v>
      </c>
      <c r="B682" s="2">
        <v>46058.0</v>
      </c>
      <c r="C682" s="1" t="s">
        <v>1295</v>
      </c>
      <c r="D682" s="1" t="s">
        <v>1806</v>
      </c>
      <c r="E682" s="1" t="s">
        <v>290</v>
      </c>
      <c r="F682" s="1">
        <v>1588.0</v>
      </c>
      <c r="G682" s="1" t="s">
        <v>104</v>
      </c>
      <c r="H682" s="1">
        <v>2724.0</v>
      </c>
      <c r="I682" s="1" t="s">
        <v>198</v>
      </c>
      <c r="J682" s="1" t="s">
        <v>22</v>
      </c>
      <c r="K682" s="1">
        <v>-22.350156</v>
      </c>
      <c r="L682" s="1">
        <v>-41.788322</v>
      </c>
      <c r="M682" s="1">
        <v>3.0</v>
      </c>
      <c r="Q682" s="1">
        <f t="shared" si="1"/>
        <v>2724</v>
      </c>
    </row>
    <row r="683" ht="15.75" customHeight="1">
      <c r="A683" s="1" t="s">
        <v>1807</v>
      </c>
      <c r="B683" s="2">
        <v>46000.0</v>
      </c>
      <c r="C683" s="1" t="s">
        <v>175</v>
      </c>
      <c r="D683" s="1" t="s">
        <v>1808</v>
      </c>
      <c r="E683" s="1" t="s">
        <v>177</v>
      </c>
      <c r="F683" s="1">
        <v>3271.0</v>
      </c>
      <c r="G683" s="1" t="s">
        <v>1809</v>
      </c>
      <c r="H683" s="1">
        <v>23045.0</v>
      </c>
      <c r="I683" s="1" t="s">
        <v>21</v>
      </c>
      <c r="J683" s="1" t="s">
        <v>40</v>
      </c>
      <c r="K683" s="1">
        <v>-22.355466</v>
      </c>
      <c r="L683" s="1">
        <v>-41.762481</v>
      </c>
      <c r="M683" s="1">
        <v>0.0</v>
      </c>
      <c r="Q683" s="1">
        <f t="shared" si="1"/>
        <v>0</v>
      </c>
    </row>
    <row r="684" ht="15.75" customHeight="1">
      <c r="A684" s="1" t="s">
        <v>1810</v>
      </c>
      <c r="B684" s="2">
        <v>45732.0</v>
      </c>
      <c r="C684" s="1" t="s">
        <v>419</v>
      </c>
      <c r="D684" s="1" t="s">
        <v>1811</v>
      </c>
      <c r="E684" s="1" t="s">
        <v>90</v>
      </c>
      <c r="F684" s="1">
        <v>9435.0</v>
      </c>
      <c r="G684" s="1" t="s">
        <v>1812</v>
      </c>
      <c r="H684" s="1">
        <v>13927.0</v>
      </c>
      <c r="I684" s="1" t="s">
        <v>198</v>
      </c>
      <c r="J684" s="1" t="s">
        <v>40</v>
      </c>
      <c r="K684" s="1">
        <v>-22.404686</v>
      </c>
      <c r="L684" s="1">
        <v>-41.722635</v>
      </c>
      <c r="M684" s="1">
        <v>2.0</v>
      </c>
      <c r="Q684" s="1">
        <f t="shared" si="1"/>
        <v>13927</v>
      </c>
    </row>
    <row r="685" ht="15.75" customHeight="1">
      <c r="A685" s="1" t="s">
        <v>1813</v>
      </c>
      <c r="B685" s="2">
        <v>45805.0</v>
      </c>
      <c r="C685" s="1" t="s">
        <v>300</v>
      </c>
      <c r="D685" s="1" t="s">
        <v>1814</v>
      </c>
      <c r="E685" s="1" t="s">
        <v>38</v>
      </c>
      <c r="F685" s="1">
        <v>2975.0</v>
      </c>
      <c r="G685" s="1" t="s">
        <v>1815</v>
      </c>
      <c r="H685" s="1">
        <v>10252.0</v>
      </c>
      <c r="I685" s="1" t="s">
        <v>198</v>
      </c>
      <c r="J685" s="1" t="s">
        <v>80</v>
      </c>
      <c r="K685" s="1">
        <v>-22.427949</v>
      </c>
      <c r="L685" s="1">
        <v>-41.77202</v>
      </c>
      <c r="M685" s="1">
        <v>0.0</v>
      </c>
      <c r="Q685" s="1">
        <f t="shared" si="1"/>
        <v>10252</v>
      </c>
    </row>
    <row r="686" ht="15.75" customHeight="1">
      <c r="A686" s="1" t="s">
        <v>1816</v>
      </c>
      <c r="B686" s="2">
        <v>46058.0</v>
      </c>
      <c r="C686" s="1" t="s">
        <v>1817</v>
      </c>
      <c r="D686" s="1" t="s">
        <v>1818</v>
      </c>
      <c r="E686" s="1" t="s">
        <v>19</v>
      </c>
      <c r="F686" s="1">
        <v>1136.0</v>
      </c>
      <c r="G686" s="1" t="s">
        <v>1369</v>
      </c>
      <c r="H686" s="1">
        <v>5797.0</v>
      </c>
      <c r="I686" s="1" t="s">
        <v>198</v>
      </c>
      <c r="J686" s="1" t="s">
        <v>40</v>
      </c>
      <c r="K686" s="1">
        <v>-22.378568</v>
      </c>
      <c r="L686" s="1">
        <v>-41.755097</v>
      </c>
      <c r="M686" s="1">
        <v>1.0</v>
      </c>
      <c r="Q686" s="1">
        <f t="shared" si="1"/>
        <v>5797</v>
      </c>
    </row>
    <row r="687" ht="15.75" customHeight="1">
      <c r="A687" s="1" t="s">
        <v>1819</v>
      </c>
      <c r="B687" s="2">
        <v>46010.0</v>
      </c>
      <c r="C687" s="1" t="s">
        <v>1820</v>
      </c>
      <c r="D687" s="1" t="s">
        <v>1821</v>
      </c>
      <c r="E687" s="1" t="s">
        <v>314</v>
      </c>
      <c r="F687" s="1">
        <v>1790.0</v>
      </c>
      <c r="G687" s="1" t="s">
        <v>1822</v>
      </c>
      <c r="H687" s="1">
        <v>18694.0</v>
      </c>
      <c r="I687" s="1" t="s">
        <v>21</v>
      </c>
      <c r="J687" s="1" t="s">
        <v>22</v>
      </c>
      <c r="K687" s="1">
        <v>-22.375414</v>
      </c>
      <c r="L687" s="1">
        <v>-41.750791</v>
      </c>
      <c r="M687" s="1">
        <v>0.0</v>
      </c>
      <c r="Q687" s="1">
        <f t="shared" si="1"/>
        <v>0</v>
      </c>
    </row>
    <row r="688" ht="15.75" customHeight="1">
      <c r="A688" s="1" t="s">
        <v>1823</v>
      </c>
      <c r="B688" s="2">
        <v>45726.0</v>
      </c>
      <c r="C688" s="1" t="s">
        <v>1824</v>
      </c>
      <c r="D688" s="1" t="s">
        <v>1821</v>
      </c>
      <c r="E688" s="1" t="s">
        <v>38</v>
      </c>
      <c r="F688" s="1">
        <v>2975.0</v>
      </c>
      <c r="G688" s="1" t="s">
        <v>1467</v>
      </c>
      <c r="H688" s="1">
        <v>15681.0</v>
      </c>
      <c r="I688" s="1" t="s">
        <v>21</v>
      </c>
      <c r="J688" s="1" t="s">
        <v>40</v>
      </c>
      <c r="K688" s="1">
        <v>-22.410272</v>
      </c>
      <c r="L688" s="1">
        <v>-41.747602</v>
      </c>
      <c r="M688" s="1">
        <v>2.0</v>
      </c>
      <c r="Q688" s="1">
        <f t="shared" si="1"/>
        <v>0</v>
      </c>
    </row>
    <row r="689" ht="15.75" customHeight="1">
      <c r="A689" s="1" t="s">
        <v>1825</v>
      </c>
      <c r="B689" s="2">
        <v>45865.0</v>
      </c>
      <c r="C689" s="1" t="s">
        <v>1549</v>
      </c>
      <c r="D689" s="1" t="s">
        <v>1826</v>
      </c>
      <c r="E689" s="1" t="s">
        <v>356</v>
      </c>
      <c r="F689" s="1">
        <v>0.0</v>
      </c>
      <c r="G689" s="1" t="s">
        <v>1827</v>
      </c>
      <c r="H689" s="1">
        <v>10339.0</v>
      </c>
      <c r="I689" s="1" t="s">
        <v>21</v>
      </c>
      <c r="J689" s="1" t="s">
        <v>34</v>
      </c>
      <c r="K689" s="1">
        <v>-22.441081</v>
      </c>
      <c r="L689" s="1">
        <v>-41.786733</v>
      </c>
      <c r="M689" s="1">
        <v>3.0</v>
      </c>
      <c r="Q689" s="1">
        <f t="shared" si="1"/>
        <v>0</v>
      </c>
    </row>
    <row r="690" ht="15.75" customHeight="1">
      <c r="A690" s="1" t="s">
        <v>1828</v>
      </c>
      <c r="B690" s="2">
        <v>46068.0</v>
      </c>
      <c r="C690" s="1" t="s">
        <v>1829</v>
      </c>
      <c r="D690" s="1" t="s">
        <v>1826</v>
      </c>
      <c r="E690" s="1" t="s">
        <v>49</v>
      </c>
      <c r="F690" s="1">
        <v>8020.0</v>
      </c>
      <c r="G690" s="1" t="s">
        <v>1830</v>
      </c>
      <c r="H690" s="1">
        <v>15820.0</v>
      </c>
      <c r="I690" s="1" t="s">
        <v>198</v>
      </c>
      <c r="J690" s="1" t="s">
        <v>205</v>
      </c>
      <c r="K690" s="1">
        <v>-22.395531</v>
      </c>
      <c r="L690" s="1">
        <v>-41.792085</v>
      </c>
      <c r="M690" s="1">
        <v>0.0</v>
      </c>
      <c r="Q690" s="1">
        <f t="shared" si="1"/>
        <v>15820</v>
      </c>
    </row>
    <row r="691" ht="15.75" customHeight="1">
      <c r="A691" s="1" t="s">
        <v>1831</v>
      </c>
      <c r="B691" s="2">
        <v>45738.0</v>
      </c>
      <c r="C691" s="1" t="s">
        <v>307</v>
      </c>
      <c r="D691" s="1" t="s">
        <v>1826</v>
      </c>
      <c r="E691" s="1" t="s">
        <v>104</v>
      </c>
      <c r="F691" s="1">
        <v>1136.0</v>
      </c>
      <c r="G691" s="1" t="s">
        <v>60</v>
      </c>
      <c r="H691" s="1">
        <v>3592.0</v>
      </c>
      <c r="I691" s="1" t="s">
        <v>21</v>
      </c>
      <c r="J691" s="1" t="s">
        <v>28</v>
      </c>
      <c r="K691" s="1">
        <v>-22.449954</v>
      </c>
      <c r="L691" s="1">
        <v>-41.788738</v>
      </c>
      <c r="M691" s="1">
        <v>4.0</v>
      </c>
      <c r="Q691" s="1">
        <f t="shared" si="1"/>
        <v>0</v>
      </c>
    </row>
    <row r="692" ht="15.75" customHeight="1">
      <c r="A692" s="1" t="s">
        <v>1832</v>
      </c>
      <c r="B692" s="2">
        <v>45793.0</v>
      </c>
      <c r="C692" s="1" t="s">
        <v>1833</v>
      </c>
      <c r="D692" s="1" t="s">
        <v>1826</v>
      </c>
      <c r="E692" s="1" t="s">
        <v>130</v>
      </c>
      <c r="F692" s="1">
        <v>13257.0</v>
      </c>
      <c r="G692" s="1" t="s">
        <v>305</v>
      </c>
      <c r="H692" s="1">
        <v>15316.0</v>
      </c>
      <c r="I692" s="1" t="s">
        <v>198</v>
      </c>
      <c r="J692" s="1" t="s">
        <v>205</v>
      </c>
      <c r="K692" s="1">
        <v>-22.395389</v>
      </c>
      <c r="L692" s="1">
        <v>-41.702357</v>
      </c>
      <c r="M692" s="1">
        <v>3.0</v>
      </c>
      <c r="Q692" s="1">
        <f t="shared" si="1"/>
        <v>15316</v>
      </c>
    </row>
    <row r="693" ht="15.75" customHeight="1">
      <c r="A693" s="1" t="s">
        <v>1834</v>
      </c>
      <c r="B693" s="2">
        <v>46116.0</v>
      </c>
      <c r="C693" s="1" t="s">
        <v>1835</v>
      </c>
      <c r="D693" s="1" t="s">
        <v>1826</v>
      </c>
      <c r="E693" s="1" t="s">
        <v>177</v>
      </c>
      <c r="F693" s="1">
        <v>3271.0</v>
      </c>
      <c r="G693" s="1" t="s">
        <v>436</v>
      </c>
      <c r="H693" s="1">
        <v>6246.0</v>
      </c>
      <c r="I693" s="1" t="s">
        <v>21</v>
      </c>
      <c r="J693" s="1" t="s">
        <v>86</v>
      </c>
      <c r="K693" s="1">
        <v>-22.41929</v>
      </c>
      <c r="L693" s="1">
        <v>-41.740744</v>
      </c>
      <c r="M693" s="1">
        <v>0.0</v>
      </c>
      <c r="Q693" s="1">
        <f t="shared" si="1"/>
        <v>0</v>
      </c>
    </row>
    <row r="694" ht="15.75" customHeight="1">
      <c r="A694" s="1" t="s">
        <v>1836</v>
      </c>
      <c r="B694" s="2">
        <v>45959.0</v>
      </c>
      <c r="C694" s="1" t="s">
        <v>1837</v>
      </c>
      <c r="D694" s="1" t="s">
        <v>1838</v>
      </c>
      <c r="E694" s="1" t="s">
        <v>69</v>
      </c>
      <c r="F694" s="1">
        <v>4825.0</v>
      </c>
      <c r="G694" s="1" t="s">
        <v>1839</v>
      </c>
      <c r="H694" s="1">
        <v>20159.0</v>
      </c>
      <c r="I694" s="1" t="s">
        <v>198</v>
      </c>
      <c r="J694" s="1" t="s">
        <v>40</v>
      </c>
      <c r="K694" s="1">
        <v>-22.352692</v>
      </c>
      <c r="L694" s="1">
        <v>-41.790548</v>
      </c>
      <c r="M694" s="1">
        <v>4.0</v>
      </c>
      <c r="Q694" s="1">
        <f t="shared" si="1"/>
        <v>20159</v>
      </c>
    </row>
    <row r="695" ht="15.75" customHeight="1">
      <c r="A695" s="1" t="s">
        <v>1840</v>
      </c>
      <c r="B695" s="2">
        <v>45867.0</v>
      </c>
      <c r="C695" s="1" t="s">
        <v>609</v>
      </c>
      <c r="D695" s="1" t="s">
        <v>1838</v>
      </c>
      <c r="E695" s="1" t="s">
        <v>197</v>
      </c>
      <c r="F695" s="1">
        <v>195.0</v>
      </c>
      <c r="G695" s="1" t="s">
        <v>1841</v>
      </c>
      <c r="H695" s="1">
        <v>10451.0</v>
      </c>
      <c r="I695" s="1" t="s">
        <v>198</v>
      </c>
      <c r="J695" s="1" t="s">
        <v>22</v>
      </c>
      <c r="K695" s="1">
        <v>-22.410164</v>
      </c>
      <c r="L695" s="1">
        <v>-41.746582</v>
      </c>
      <c r="M695" s="1">
        <v>2.0</v>
      </c>
      <c r="Q695" s="1">
        <f t="shared" si="1"/>
        <v>10451</v>
      </c>
    </row>
    <row r="696" ht="15.75" customHeight="1">
      <c r="A696" s="1" t="s">
        <v>1842</v>
      </c>
      <c r="B696" s="2">
        <v>45849.0</v>
      </c>
      <c r="C696" s="1" t="s">
        <v>1843</v>
      </c>
      <c r="D696" s="1" t="s">
        <v>1838</v>
      </c>
      <c r="E696" s="1" t="s">
        <v>163</v>
      </c>
      <c r="F696" s="1">
        <v>2059.0</v>
      </c>
      <c r="G696" s="1" t="s">
        <v>1844</v>
      </c>
      <c r="H696" s="1">
        <v>5706.0</v>
      </c>
      <c r="I696" s="1" t="s">
        <v>21</v>
      </c>
      <c r="J696" s="1" t="s">
        <v>40</v>
      </c>
      <c r="K696" s="1">
        <v>-22.366604</v>
      </c>
      <c r="L696" s="1">
        <v>-41.736094</v>
      </c>
      <c r="M696" s="1">
        <v>0.0</v>
      </c>
      <c r="Q696" s="1">
        <f t="shared" si="1"/>
        <v>0</v>
      </c>
    </row>
    <row r="697" ht="15.75" customHeight="1">
      <c r="A697" s="1" t="s">
        <v>1845</v>
      </c>
      <c r="B697" s="2">
        <v>45925.0</v>
      </c>
      <c r="C697" s="1" t="s">
        <v>1846</v>
      </c>
      <c r="D697" s="1" t="s">
        <v>1838</v>
      </c>
      <c r="E697" s="1" t="s">
        <v>78</v>
      </c>
      <c r="F697" s="1">
        <v>195.0</v>
      </c>
      <c r="G697" s="1" t="s">
        <v>1847</v>
      </c>
      <c r="H697" s="1">
        <v>3904.0</v>
      </c>
      <c r="I697" s="1" t="s">
        <v>21</v>
      </c>
      <c r="J697" s="1" t="s">
        <v>51</v>
      </c>
      <c r="K697" s="1">
        <v>-22.432838</v>
      </c>
      <c r="L697" s="1">
        <v>-41.745387</v>
      </c>
      <c r="M697" s="1">
        <v>4.0</v>
      </c>
      <c r="Q697" s="1">
        <f t="shared" si="1"/>
        <v>0</v>
      </c>
    </row>
    <row r="698" ht="15.75" customHeight="1">
      <c r="A698" s="1" t="s">
        <v>1848</v>
      </c>
      <c r="B698" s="2">
        <v>45895.0</v>
      </c>
      <c r="C698" s="1" t="s">
        <v>1846</v>
      </c>
      <c r="D698" s="1" t="s">
        <v>1838</v>
      </c>
      <c r="E698" s="1" t="s">
        <v>78</v>
      </c>
      <c r="F698" s="1">
        <v>195.0</v>
      </c>
      <c r="G698" s="1" t="s">
        <v>1849</v>
      </c>
      <c r="H698" s="1">
        <v>8135.0</v>
      </c>
      <c r="I698" s="1" t="s">
        <v>198</v>
      </c>
      <c r="J698" s="1" t="s">
        <v>34</v>
      </c>
      <c r="K698" s="1">
        <v>-22.362336</v>
      </c>
      <c r="L698" s="1">
        <v>-41.715192</v>
      </c>
      <c r="M698" s="1">
        <v>4.0</v>
      </c>
      <c r="Q698" s="1">
        <f t="shared" si="1"/>
        <v>8135</v>
      </c>
    </row>
    <row r="699" ht="15.75" customHeight="1">
      <c r="A699" s="1" t="s">
        <v>1850</v>
      </c>
      <c r="B699" s="2">
        <v>45892.0</v>
      </c>
      <c r="C699" s="1" t="s">
        <v>1530</v>
      </c>
      <c r="D699" s="1" t="s">
        <v>1838</v>
      </c>
      <c r="E699" s="1" t="s">
        <v>60</v>
      </c>
      <c r="F699" s="1">
        <v>2456.0</v>
      </c>
      <c r="G699" s="1" t="s">
        <v>1851</v>
      </c>
      <c r="H699" s="1">
        <v>20689.0</v>
      </c>
      <c r="I699" s="1" t="s">
        <v>198</v>
      </c>
      <c r="J699" s="1" t="s">
        <v>205</v>
      </c>
      <c r="K699" s="1">
        <v>-22.354023</v>
      </c>
      <c r="L699" s="1">
        <v>-41.797708</v>
      </c>
      <c r="M699" s="1">
        <v>4.0</v>
      </c>
      <c r="Q699" s="1">
        <f t="shared" si="1"/>
        <v>20689</v>
      </c>
    </row>
    <row r="700" ht="15.75" customHeight="1">
      <c r="A700" s="1" t="s">
        <v>1852</v>
      </c>
      <c r="B700" s="2">
        <v>46122.0</v>
      </c>
      <c r="C700" s="1" t="s">
        <v>1534</v>
      </c>
      <c r="D700" s="1" t="s">
        <v>1838</v>
      </c>
      <c r="E700" s="1" t="s">
        <v>59</v>
      </c>
      <c r="F700" s="1">
        <v>1790.0</v>
      </c>
      <c r="G700" s="1" t="s">
        <v>1853</v>
      </c>
      <c r="H700" s="1">
        <v>18695.0</v>
      </c>
      <c r="I700" s="1" t="s">
        <v>21</v>
      </c>
      <c r="J700" s="1" t="s">
        <v>40</v>
      </c>
      <c r="K700" s="1">
        <v>-22.409734</v>
      </c>
      <c r="L700" s="1">
        <v>-41.706181</v>
      </c>
      <c r="M700" s="1">
        <v>3.0</v>
      </c>
      <c r="Q700" s="1">
        <f t="shared" si="1"/>
        <v>0</v>
      </c>
    </row>
    <row r="701" ht="15.75" customHeight="1">
      <c r="A701" s="1" t="s">
        <v>1854</v>
      </c>
      <c r="B701" s="2">
        <v>46031.0</v>
      </c>
      <c r="C701" s="1" t="s">
        <v>1461</v>
      </c>
      <c r="D701" s="1" t="s">
        <v>1838</v>
      </c>
      <c r="E701" s="1" t="s">
        <v>33</v>
      </c>
      <c r="F701" s="1">
        <v>821.0</v>
      </c>
      <c r="G701" s="1" t="s">
        <v>1855</v>
      </c>
      <c r="H701" s="1">
        <v>2880.0</v>
      </c>
      <c r="I701" s="1" t="s">
        <v>21</v>
      </c>
      <c r="J701" s="1" t="s">
        <v>51</v>
      </c>
      <c r="K701" s="1">
        <v>-22.395938</v>
      </c>
      <c r="L701" s="1">
        <v>-41.791565</v>
      </c>
      <c r="M701" s="1">
        <v>0.0</v>
      </c>
      <c r="Q701" s="1">
        <f t="shared" si="1"/>
        <v>0</v>
      </c>
    </row>
    <row r="702" ht="15.75" customHeight="1">
      <c r="A702" s="1" t="s">
        <v>1856</v>
      </c>
      <c r="B702" s="2">
        <v>45993.0</v>
      </c>
      <c r="C702" s="1" t="s">
        <v>1837</v>
      </c>
      <c r="D702" s="1" t="s">
        <v>1838</v>
      </c>
      <c r="E702" s="1" t="s">
        <v>69</v>
      </c>
      <c r="F702" s="1">
        <v>4825.0</v>
      </c>
      <c r="G702" s="1" t="s">
        <v>33</v>
      </c>
      <c r="H702" s="1">
        <v>5646.0</v>
      </c>
      <c r="I702" s="1" t="s">
        <v>198</v>
      </c>
      <c r="J702" s="1" t="s">
        <v>22</v>
      </c>
      <c r="K702" s="1">
        <v>-22.350785</v>
      </c>
      <c r="L702" s="1">
        <v>-41.732125</v>
      </c>
      <c r="M702" s="1">
        <v>1.0</v>
      </c>
      <c r="Q702" s="1">
        <f t="shared" si="1"/>
        <v>5646</v>
      </c>
    </row>
    <row r="703" ht="15.75" customHeight="1">
      <c r="A703" s="1" t="s">
        <v>1857</v>
      </c>
      <c r="B703" s="2">
        <v>45765.0</v>
      </c>
      <c r="C703" s="1" t="s">
        <v>1858</v>
      </c>
      <c r="D703" s="1" t="s">
        <v>1838</v>
      </c>
      <c r="E703" s="1" t="s">
        <v>409</v>
      </c>
      <c r="F703" s="1">
        <v>1136.0</v>
      </c>
      <c r="G703" s="1" t="s">
        <v>1859</v>
      </c>
      <c r="H703" s="1">
        <v>6112.0</v>
      </c>
      <c r="I703" s="1" t="s">
        <v>198</v>
      </c>
      <c r="J703" s="1" t="s">
        <v>51</v>
      </c>
      <c r="K703" s="1">
        <v>-22.393057</v>
      </c>
      <c r="L703" s="1">
        <v>-41.726751</v>
      </c>
      <c r="M703" s="1">
        <v>2.0</v>
      </c>
      <c r="Q703" s="1">
        <f t="shared" si="1"/>
        <v>6112</v>
      </c>
    </row>
    <row r="704" ht="15.75" customHeight="1">
      <c r="A704" s="1" t="s">
        <v>1860</v>
      </c>
      <c r="B704" s="2">
        <v>45993.0</v>
      </c>
      <c r="C704" s="1" t="s">
        <v>304</v>
      </c>
      <c r="D704" s="1" t="s">
        <v>1861</v>
      </c>
      <c r="E704" s="1" t="s">
        <v>305</v>
      </c>
      <c r="F704" s="1">
        <v>2059.0</v>
      </c>
      <c r="G704" s="1" t="s">
        <v>1862</v>
      </c>
      <c r="H704" s="1">
        <v>13669.0</v>
      </c>
      <c r="I704" s="1" t="s">
        <v>21</v>
      </c>
      <c r="J704" s="1" t="s">
        <v>51</v>
      </c>
      <c r="K704" s="1">
        <v>-22.353108</v>
      </c>
      <c r="L704" s="1">
        <v>-41.724504</v>
      </c>
      <c r="M704" s="1">
        <v>4.0</v>
      </c>
      <c r="Q704" s="1">
        <f t="shared" si="1"/>
        <v>0</v>
      </c>
    </row>
    <row r="705" ht="15.75" customHeight="1">
      <c r="A705" s="1" t="s">
        <v>1863</v>
      </c>
      <c r="B705" s="2">
        <v>46098.0</v>
      </c>
      <c r="C705" s="1" t="s">
        <v>1537</v>
      </c>
      <c r="D705" s="1" t="s">
        <v>1861</v>
      </c>
      <c r="E705" s="1" t="s">
        <v>297</v>
      </c>
      <c r="F705" s="1">
        <v>1136.0</v>
      </c>
      <c r="G705" s="1" t="s">
        <v>1864</v>
      </c>
      <c r="H705" s="1">
        <v>6945.0</v>
      </c>
      <c r="I705" s="1" t="s">
        <v>21</v>
      </c>
      <c r="J705" s="1" t="s">
        <v>86</v>
      </c>
      <c r="K705" s="1">
        <v>-22.371665</v>
      </c>
      <c r="L705" s="1">
        <v>-41.713192</v>
      </c>
      <c r="M705" s="1">
        <v>4.0</v>
      </c>
      <c r="Q705" s="1">
        <f t="shared" si="1"/>
        <v>0</v>
      </c>
    </row>
    <row r="706" ht="15.75" customHeight="1">
      <c r="A706" s="1" t="s">
        <v>1865</v>
      </c>
      <c r="B706" s="2">
        <v>45692.0</v>
      </c>
      <c r="C706" s="1" t="s">
        <v>1837</v>
      </c>
      <c r="D706" s="1" t="s">
        <v>1861</v>
      </c>
      <c r="E706" s="1" t="s">
        <v>69</v>
      </c>
      <c r="F706" s="1">
        <v>4825.0</v>
      </c>
      <c r="G706" s="1" t="s">
        <v>297</v>
      </c>
      <c r="H706" s="1">
        <v>5961.0</v>
      </c>
      <c r="I706" s="1" t="s">
        <v>198</v>
      </c>
      <c r="J706" s="1" t="s">
        <v>34</v>
      </c>
      <c r="K706" s="1">
        <v>-22.383769</v>
      </c>
      <c r="L706" s="1">
        <v>-41.745772</v>
      </c>
      <c r="M706" s="1">
        <v>4.0</v>
      </c>
      <c r="Q706" s="1">
        <f t="shared" si="1"/>
        <v>5961</v>
      </c>
    </row>
    <row r="707" ht="15.75" customHeight="1">
      <c r="A707" s="1" t="s">
        <v>1866</v>
      </c>
      <c r="B707" s="2">
        <v>45791.0</v>
      </c>
      <c r="C707" s="1" t="s">
        <v>1541</v>
      </c>
      <c r="D707" s="1" t="s">
        <v>1861</v>
      </c>
      <c r="E707" s="1" t="s">
        <v>95</v>
      </c>
      <c r="F707" s="1">
        <v>1588.0</v>
      </c>
      <c r="G707" s="1" t="s">
        <v>1867</v>
      </c>
      <c r="H707" s="1">
        <v>8747.0</v>
      </c>
      <c r="I707" s="1" t="s">
        <v>21</v>
      </c>
      <c r="J707" s="1" t="s">
        <v>80</v>
      </c>
      <c r="K707" s="1">
        <v>-22.365386</v>
      </c>
      <c r="L707" s="1">
        <v>-41.739027</v>
      </c>
      <c r="M707" s="1">
        <v>2.0</v>
      </c>
      <c r="Q707" s="1">
        <f t="shared" si="1"/>
        <v>0</v>
      </c>
    </row>
    <row r="708" ht="15.75" customHeight="1">
      <c r="A708" s="1" t="s">
        <v>1868</v>
      </c>
      <c r="B708" s="2">
        <v>45948.0</v>
      </c>
      <c r="C708" s="1" t="s">
        <v>1869</v>
      </c>
      <c r="D708" s="1" t="s">
        <v>1861</v>
      </c>
      <c r="E708" s="1" t="s">
        <v>32</v>
      </c>
      <c r="F708" s="1">
        <v>1059.0</v>
      </c>
      <c r="G708" s="1" t="s">
        <v>1870</v>
      </c>
      <c r="H708" s="1">
        <v>18994.0</v>
      </c>
      <c r="I708" s="1" t="s">
        <v>21</v>
      </c>
      <c r="J708" s="1" t="s">
        <v>205</v>
      </c>
      <c r="K708" s="1">
        <v>-22.387393</v>
      </c>
      <c r="L708" s="1">
        <v>-41.749247</v>
      </c>
      <c r="M708" s="1">
        <v>2.0</v>
      </c>
      <c r="Q708" s="1">
        <f t="shared" si="1"/>
        <v>0</v>
      </c>
    </row>
    <row r="709" ht="15.75" customHeight="1">
      <c r="A709" s="1" t="s">
        <v>1871</v>
      </c>
      <c r="B709" s="2">
        <v>45841.0</v>
      </c>
      <c r="C709" s="1" t="s">
        <v>1537</v>
      </c>
      <c r="D709" s="1" t="s">
        <v>1861</v>
      </c>
      <c r="E709" s="1" t="s">
        <v>297</v>
      </c>
      <c r="F709" s="1">
        <v>1136.0</v>
      </c>
      <c r="G709" s="1" t="s">
        <v>1872</v>
      </c>
      <c r="H709" s="1">
        <v>3287.0</v>
      </c>
      <c r="I709" s="1" t="s">
        <v>198</v>
      </c>
      <c r="J709" s="1" t="s">
        <v>51</v>
      </c>
      <c r="K709" s="1">
        <v>-22.405242</v>
      </c>
      <c r="L709" s="1">
        <v>-41.75224</v>
      </c>
      <c r="M709" s="1">
        <v>1.0</v>
      </c>
      <c r="Q709" s="1">
        <f t="shared" si="1"/>
        <v>3287</v>
      </c>
    </row>
    <row r="710" ht="15.75" customHeight="1">
      <c r="A710" s="1" t="s">
        <v>1873</v>
      </c>
      <c r="B710" s="2">
        <v>45939.0</v>
      </c>
      <c r="C710" s="1" t="s">
        <v>1549</v>
      </c>
      <c r="D710" s="1" t="s">
        <v>1861</v>
      </c>
      <c r="E710" s="1" t="s">
        <v>356</v>
      </c>
      <c r="F710" s="1">
        <v>0.0</v>
      </c>
      <c r="G710" s="1" t="s">
        <v>1874</v>
      </c>
      <c r="H710" s="1">
        <v>6567.0</v>
      </c>
      <c r="I710" s="1" t="s">
        <v>198</v>
      </c>
      <c r="J710" s="1" t="s">
        <v>22</v>
      </c>
      <c r="K710" s="1">
        <v>-22.353648</v>
      </c>
      <c r="L710" s="1">
        <v>-41.793652</v>
      </c>
      <c r="M710" s="1">
        <v>3.0</v>
      </c>
      <c r="Q710" s="1">
        <f t="shared" si="1"/>
        <v>6567</v>
      </c>
    </row>
    <row r="711" ht="15.75" customHeight="1">
      <c r="A711" s="1" t="s">
        <v>1875</v>
      </c>
      <c r="B711" s="2">
        <v>46162.0</v>
      </c>
      <c r="C711" s="1" t="s">
        <v>36</v>
      </c>
      <c r="D711" s="1" t="s">
        <v>1861</v>
      </c>
      <c r="E711" s="1" t="s">
        <v>38</v>
      </c>
      <c r="F711" s="1">
        <v>2975.0</v>
      </c>
      <c r="G711" s="1" t="s">
        <v>1876</v>
      </c>
      <c r="H711" s="1">
        <v>7831.0</v>
      </c>
      <c r="I711" s="1" t="s">
        <v>21</v>
      </c>
      <c r="J711" s="1" t="s">
        <v>28</v>
      </c>
      <c r="K711" s="1">
        <v>-22.364298</v>
      </c>
      <c r="L711" s="1">
        <v>-41.742541</v>
      </c>
      <c r="M711" s="1">
        <v>3.0</v>
      </c>
      <c r="Q711" s="1">
        <f t="shared" si="1"/>
        <v>0</v>
      </c>
    </row>
    <row r="712" ht="15.75" customHeight="1">
      <c r="A712" s="1" t="s">
        <v>1877</v>
      </c>
      <c r="B712" s="2">
        <v>45858.0</v>
      </c>
      <c r="C712" s="1" t="s">
        <v>1833</v>
      </c>
      <c r="D712" s="1" t="s">
        <v>1861</v>
      </c>
      <c r="E712" s="1" t="s">
        <v>130</v>
      </c>
      <c r="F712" s="1">
        <v>13257.0</v>
      </c>
      <c r="G712" s="1" t="s">
        <v>1878</v>
      </c>
      <c r="H712" s="1">
        <v>18694.0</v>
      </c>
      <c r="I712" s="1" t="s">
        <v>198</v>
      </c>
      <c r="J712" s="1" t="s">
        <v>40</v>
      </c>
      <c r="K712" s="1">
        <v>-22.370947</v>
      </c>
      <c r="L712" s="1">
        <v>-41.746786</v>
      </c>
      <c r="M712" s="1">
        <v>3.0</v>
      </c>
      <c r="Q712" s="1">
        <f t="shared" si="1"/>
        <v>18694</v>
      </c>
    </row>
    <row r="713" ht="15.75" customHeight="1">
      <c r="A713" s="1" t="s">
        <v>1879</v>
      </c>
      <c r="B713" s="2">
        <v>45901.0</v>
      </c>
      <c r="C713" s="1" t="s">
        <v>304</v>
      </c>
      <c r="D713" s="1" t="s">
        <v>1861</v>
      </c>
      <c r="E713" s="1" t="s">
        <v>305</v>
      </c>
      <c r="F713" s="1">
        <v>2059.0</v>
      </c>
      <c r="G713" s="1" t="s">
        <v>504</v>
      </c>
      <c r="H713" s="1">
        <v>3195.0</v>
      </c>
      <c r="I713" s="1" t="s">
        <v>21</v>
      </c>
      <c r="J713" s="1" t="s">
        <v>40</v>
      </c>
      <c r="K713" s="1">
        <v>-22.38045</v>
      </c>
      <c r="L713" s="1">
        <v>-41.711698</v>
      </c>
      <c r="M713" s="1">
        <v>2.0</v>
      </c>
      <c r="Q713" s="1">
        <f t="shared" si="1"/>
        <v>0</v>
      </c>
    </row>
    <row r="714" ht="15.75" customHeight="1">
      <c r="A714" s="1" t="s">
        <v>1880</v>
      </c>
      <c r="B714" s="2">
        <v>46125.0</v>
      </c>
      <c r="C714" s="1" t="s">
        <v>1858</v>
      </c>
      <c r="D714" s="1" t="s">
        <v>1861</v>
      </c>
      <c r="E714" s="1" t="s">
        <v>409</v>
      </c>
      <c r="F714" s="1">
        <v>1136.0</v>
      </c>
      <c r="G714" s="1" t="s">
        <v>1881</v>
      </c>
      <c r="H714" s="1">
        <v>8247.0</v>
      </c>
      <c r="I714" s="1" t="s">
        <v>198</v>
      </c>
      <c r="J714" s="1" t="s">
        <v>40</v>
      </c>
      <c r="K714" s="1">
        <v>-22.446937</v>
      </c>
      <c r="L714" s="1">
        <v>-41.787517</v>
      </c>
      <c r="M714" s="1">
        <v>4.0</v>
      </c>
      <c r="Q714" s="1">
        <f t="shared" si="1"/>
        <v>8247</v>
      </c>
    </row>
    <row r="715" ht="15.75" customHeight="1">
      <c r="A715" s="1" t="s">
        <v>1882</v>
      </c>
      <c r="B715" s="2">
        <v>45915.0</v>
      </c>
      <c r="C715" s="1" t="s">
        <v>609</v>
      </c>
      <c r="D715" s="1" t="s">
        <v>1861</v>
      </c>
      <c r="E715" s="1" t="s">
        <v>197</v>
      </c>
      <c r="F715" s="1">
        <v>195.0</v>
      </c>
      <c r="G715" s="1" t="s">
        <v>1883</v>
      </c>
      <c r="H715" s="1">
        <v>7058.0</v>
      </c>
      <c r="I715" s="1" t="s">
        <v>198</v>
      </c>
      <c r="J715" s="1" t="s">
        <v>51</v>
      </c>
      <c r="K715" s="1">
        <v>-22.403931</v>
      </c>
      <c r="L715" s="1">
        <v>-41.760593</v>
      </c>
      <c r="M715" s="1">
        <v>1.0</v>
      </c>
      <c r="Q715" s="1">
        <f t="shared" si="1"/>
        <v>7058</v>
      </c>
    </row>
    <row r="716" ht="15.75" customHeight="1">
      <c r="A716" s="1" t="s">
        <v>1884</v>
      </c>
      <c r="B716" s="2">
        <v>45848.0</v>
      </c>
      <c r="C716" s="1" t="s">
        <v>313</v>
      </c>
      <c r="D716" s="1" t="s">
        <v>1861</v>
      </c>
      <c r="E716" s="1" t="s">
        <v>314</v>
      </c>
      <c r="F716" s="1">
        <v>1790.0</v>
      </c>
      <c r="G716" s="1" t="s">
        <v>1885</v>
      </c>
      <c r="H716" s="1">
        <v>18022.0</v>
      </c>
      <c r="I716" s="1" t="s">
        <v>21</v>
      </c>
      <c r="J716" s="1" t="s">
        <v>28</v>
      </c>
      <c r="K716" s="1">
        <v>-22.381647</v>
      </c>
      <c r="L716" s="1">
        <v>-41.726064</v>
      </c>
      <c r="M716" s="1">
        <v>1.0</v>
      </c>
      <c r="Q716" s="1">
        <f t="shared" si="1"/>
        <v>0</v>
      </c>
    </row>
    <row r="717" ht="15.75" customHeight="1">
      <c r="A717" s="1" t="s">
        <v>1886</v>
      </c>
      <c r="B717" s="2">
        <v>45763.0</v>
      </c>
      <c r="C717" s="1" t="s">
        <v>609</v>
      </c>
      <c r="D717" s="1" t="s">
        <v>1861</v>
      </c>
      <c r="E717" s="1" t="s">
        <v>197</v>
      </c>
      <c r="F717" s="1">
        <v>195.0</v>
      </c>
      <c r="G717" s="1" t="s">
        <v>1887</v>
      </c>
      <c r="H717" s="1">
        <v>4758.0</v>
      </c>
      <c r="I717" s="1" t="s">
        <v>21</v>
      </c>
      <c r="J717" s="1" t="s">
        <v>51</v>
      </c>
      <c r="K717" s="1">
        <v>-22.433558</v>
      </c>
      <c r="L717" s="1">
        <v>-41.792039</v>
      </c>
      <c r="M717" s="1">
        <v>2.0</v>
      </c>
      <c r="Q717" s="1">
        <f t="shared" si="1"/>
        <v>0</v>
      </c>
    </row>
    <row r="718" ht="15.75" customHeight="1">
      <c r="A718" s="1" t="s">
        <v>1888</v>
      </c>
      <c r="B718" s="2">
        <v>46152.0</v>
      </c>
      <c r="C718" s="1" t="s">
        <v>1889</v>
      </c>
      <c r="D718" s="1" t="s">
        <v>1890</v>
      </c>
      <c r="E718" s="1" t="s">
        <v>49</v>
      </c>
      <c r="F718" s="1">
        <v>8020.0</v>
      </c>
      <c r="G718" s="1" t="s">
        <v>32</v>
      </c>
      <c r="H718" s="1">
        <v>9079.0</v>
      </c>
      <c r="I718" s="1" t="s">
        <v>198</v>
      </c>
      <c r="J718" s="1" t="s">
        <v>80</v>
      </c>
      <c r="K718" s="1">
        <v>-22.411092</v>
      </c>
      <c r="L718" s="1">
        <v>-41.703137</v>
      </c>
      <c r="M718" s="1">
        <v>1.0</v>
      </c>
      <c r="Q718" s="1">
        <f t="shared" si="1"/>
        <v>9079</v>
      </c>
    </row>
    <row r="719" ht="15.75" customHeight="1">
      <c r="A719" s="1" t="s">
        <v>1891</v>
      </c>
      <c r="B719" s="2">
        <v>46009.0</v>
      </c>
      <c r="C719" s="1" t="s">
        <v>113</v>
      </c>
      <c r="D719" s="1" t="s">
        <v>1892</v>
      </c>
      <c r="E719" s="1" t="s">
        <v>69</v>
      </c>
      <c r="F719" s="1">
        <v>4825.0</v>
      </c>
      <c r="G719" s="1" t="s">
        <v>1893</v>
      </c>
      <c r="H719" s="1">
        <v>7234.0</v>
      </c>
      <c r="I719" s="1" t="s">
        <v>21</v>
      </c>
      <c r="J719" s="1" t="s">
        <v>80</v>
      </c>
      <c r="K719" s="1">
        <v>-22.439778</v>
      </c>
      <c r="L719" s="1">
        <v>-41.713955</v>
      </c>
      <c r="M719" s="1">
        <v>4.0</v>
      </c>
      <c r="Q719" s="1">
        <f t="shared" si="1"/>
        <v>0</v>
      </c>
    </row>
    <row r="720" ht="15.75" customHeight="1">
      <c r="A720" s="1" t="s">
        <v>1894</v>
      </c>
      <c r="B720" s="2">
        <v>46036.0</v>
      </c>
      <c r="C720" s="1" t="s">
        <v>1895</v>
      </c>
      <c r="D720" s="1" t="s">
        <v>1896</v>
      </c>
      <c r="E720" s="1" t="s">
        <v>50</v>
      </c>
      <c r="F720" s="1">
        <v>1588.0</v>
      </c>
      <c r="G720" s="1" t="s">
        <v>115</v>
      </c>
      <c r="H720" s="1">
        <v>7094.0</v>
      </c>
      <c r="I720" s="1" t="s">
        <v>198</v>
      </c>
      <c r="J720" s="1" t="s">
        <v>40</v>
      </c>
      <c r="K720" s="1">
        <v>-22.354837</v>
      </c>
      <c r="L720" s="1">
        <v>-41.751037</v>
      </c>
      <c r="M720" s="1">
        <v>2.0</v>
      </c>
      <c r="Q720" s="1">
        <f t="shared" si="1"/>
        <v>7094</v>
      </c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2026-05-29T00:29:55Z</dcterms:created>
  <dc:creator>openpyxl</dc:creator>
</cp:coreProperties>
</file>